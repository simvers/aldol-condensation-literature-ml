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40" documentId="8_{EA2DC456-9018-4B3C-BE0B-F4A9E1E8EA4D}" xr6:coauthVersionLast="47" xr6:coauthVersionMax="47" xr10:uidLastSave="{53475EF8-11C1-481D-9EEF-FBA77CE0CBC6}"/>
  <bookViews>
    <workbookView xWindow="-38520" yWindow="-120" windowWidth="38640" windowHeight="21240" xr2:uid="{2F68D1DD-9F67-4156-B0F9-2D4AE0BF44A6}"/>
  </bookViews>
  <sheets>
    <sheet name="1" sheetId="7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0" l="1"/>
  <c r="B14" i="70" l="1"/>
  <c r="B13" i="70"/>
  <c r="B12" i="70"/>
  <c r="B11" i="70"/>
  <c r="B10" i="70"/>
  <c r="B9" i="70"/>
  <c r="B8" i="70"/>
  <c r="B7" i="70"/>
  <c r="B6" i="70"/>
  <c r="B5" i="70"/>
</calcChain>
</file>

<file path=xl/sharedStrings.xml><?xml version="1.0" encoding="utf-8"?>
<sst xmlns="http://schemas.openxmlformats.org/spreadsheetml/2006/main" count="4" uniqueCount="4">
  <si>
    <t>DOI</t>
  </si>
  <si>
    <t>Time (h)</t>
  </si>
  <si>
    <t>https://dx.doi.org/10.2139/ssrn.4741336</t>
  </si>
  <si>
    <t>STY_Acryl (mmolhg)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</si>
</sst>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x.doi.org/10.2139/ssrn.47413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B558-B6E2-4DB8-9363-4DD05F6D0022}">
  <dimension ref="A1:F68"/>
  <sheetViews>
    <sheetView tabSelected="1" workbookViewId="0">
      <selection activeCell="B4" sqref="B4"/>
    </sheetView>
  </sheetViews>
  <sheetFormatPr defaultRowHeight="14.4" x14ac:dyDescent="0.3"/>
  <cols>
    <col min="2" max="2" width="11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2" x14ac:dyDescent="0.3">
      <c r="A1" t="s">
        <v>0</v>
      </c>
      <c r="B1" s="2" t="s">
        <v>2</v>
      </c>
    </row>
    <row r="3" spans="1:2" x14ac:dyDescent="0.3">
      <c r="A3" t="s">
        <v>1</v>
      </c>
      <c r="B3" t="s">
        <v>3</v>
      </c>
    </row>
    <row r="4" spans="1:2" x14ac:dyDescent="0.3">
      <c r="A4" s="3">
        <v>2.5</v>
      </c>
      <c r="B4">
        <f>0.495048155556854/86.09*1000</f>
        <v>5.7503560873139037</v>
      </c>
    </row>
    <row r="5" spans="1:2" x14ac:dyDescent="0.3">
      <c r="A5" s="3">
        <v>5</v>
      </c>
      <c r="B5">
        <f>0.499260735544967/86.09*1000</f>
        <v>5.7992883673477404</v>
      </c>
    </row>
    <row r="6" spans="1:2" x14ac:dyDescent="0.3">
      <c r="A6" s="3">
        <v>7.4999999999999902</v>
      </c>
      <c r="B6">
        <f>0.509810130507194/86.09*1000</f>
        <v>5.9218275119897088</v>
      </c>
    </row>
    <row r="7" spans="1:2" x14ac:dyDescent="0.3">
      <c r="A7" s="3">
        <v>10</v>
      </c>
      <c r="B7">
        <f>0.570761151401803/86.09*1000</f>
        <v>6.6298193913555927</v>
      </c>
    </row>
    <row r="8" spans="1:2" x14ac:dyDescent="0.3">
      <c r="A8" s="3">
        <v>13.349419132908899</v>
      </c>
      <c r="B8">
        <f>0.586586009202397/86.09*1000</f>
        <v>6.8136369985177954</v>
      </c>
    </row>
    <row r="9" spans="1:2" x14ac:dyDescent="0.3">
      <c r="A9" s="3">
        <v>15.8489560323021</v>
      </c>
      <c r="B9">
        <f>0.610781462881808/86.09*1000</f>
        <v>7.0946853627809032</v>
      </c>
    </row>
    <row r="10" spans="1:2" x14ac:dyDescent="0.3">
      <c r="A10" s="3">
        <v>18.3885974442403</v>
      </c>
      <c r="B10">
        <f>0.578576732139855/86.09*1000</f>
        <v>6.7206032308032873</v>
      </c>
    </row>
    <row r="11" spans="1:2" x14ac:dyDescent="0.3">
      <c r="A11" s="3">
        <v>22.499999999999901</v>
      </c>
      <c r="B11">
        <f>0.54551788061949/86.09*1000</f>
        <v>6.3365998445753284</v>
      </c>
    </row>
    <row r="12" spans="1:2" x14ac:dyDescent="0.3">
      <c r="A12" s="3">
        <v>36.416657173104198</v>
      </c>
      <c r="B12">
        <f>0.545387684672944/86.09*1000</f>
        <v>6.3350875208844686</v>
      </c>
    </row>
    <row r="13" spans="1:2" x14ac:dyDescent="0.3">
      <c r="A13" s="3">
        <v>41.498260131020402</v>
      </c>
      <c r="B13">
        <f>0.543588955606249/86.09*1000</f>
        <v>6.3141939320042857</v>
      </c>
    </row>
    <row r="14" spans="1:2" x14ac:dyDescent="0.3">
      <c r="A14" s="3">
        <v>48.518402228810601</v>
      </c>
      <c r="B14">
        <f>0.55127901904177/86.09*1000</f>
        <v>6.4035197937248229</v>
      </c>
    </row>
    <row r="15" spans="1:2" x14ac:dyDescent="0.3">
      <c r="A15" s="1"/>
    </row>
    <row r="16" spans="1:2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11999A21-77B4-43C1-8262-8729BC6DDB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2025-09-26T12:40:35Z</dcterms:modified>
</cp:coreProperties>
</file>