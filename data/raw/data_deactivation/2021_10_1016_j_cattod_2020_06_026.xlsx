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03" documentId="8_{739541A0-27E4-4F93-B994-AB5276BD46AD}" xr6:coauthVersionLast="47" xr6:coauthVersionMax="47" xr10:uidLastSave="{9507A0A6-FC05-484B-B8EF-6423708894A9}"/>
  <bookViews>
    <workbookView xWindow="-108" yWindow="-108" windowWidth="23256" windowHeight="12576" xr2:uid="{2F68D1DD-9F67-4156-B0F9-2D4AE0BF44A6}"/>
  </bookViews>
  <sheets>
    <sheet name="Cs-Al2O3-A" sheetId="50" r:id="rId1"/>
    <sheet name="Cs-Al2O3-B" sheetId="53" r:id="rId2"/>
    <sheet name="Cs-Al2O3-C" sheetId="52" r:id="rId3"/>
    <sheet name="Cs-Al2O3-D" sheetId="5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1" l="1"/>
  <c r="D6" i="51"/>
  <c r="D7" i="51"/>
  <c r="D8" i="51"/>
  <c r="D9" i="51"/>
  <c r="D10" i="51"/>
  <c r="D4" i="51"/>
  <c r="D5" i="52"/>
  <c r="D6" i="52"/>
  <c r="D7" i="52"/>
  <c r="D8" i="52"/>
  <c r="D9" i="52"/>
  <c r="D10" i="52"/>
  <c r="D4" i="52"/>
  <c r="D5" i="53"/>
  <c r="D6" i="53"/>
  <c r="D7" i="53"/>
  <c r="D8" i="53"/>
  <c r="D9" i="53"/>
  <c r="D10" i="53"/>
  <c r="D4" i="53"/>
  <c r="D5" i="50"/>
  <c r="D6" i="50"/>
  <c r="D7" i="50"/>
  <c r="D8" i="50"/>
  <c r="D9" i="50"/>
  <c r="D10" i="50"/>
  <c r="D4" i="50"/>
</calcChain>
</file>

<file path=xl/sharedStrings.xml><?xml version="1.0" encoding="utf-8"?>
<sst xmlns="http://schemas.openxmlformats.org/spreadsheetml/2006/main" count="24" uniqueCount="6">
  <si>
    <t>DOI</t>
  </si>
  <si>
    <t>Time (h)</t>
  </si>
  <si>
    <t>https://doi.org/10.1016/j.cattod.2020.06.026</t>
  </si>
  <si>
    <t>X_Ac</t>
  </si>
  <si>
    <t>S_Ac_Acryl</t>
  </si>
  <si>
    <t>Y_Ac_Acryl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</si>
</sst>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cattod.2020.06.02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cattod.2020.06.02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cattod.2020.06.02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cattod.2020.06.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407D-ECC2-4CFA-953D-BC5B17A2B5F4}">
  <dimension ref="A1:D68"/>
  <sheetViews>
    <sheetView tabSelected="1" workbookViewId="0">
      <selection activeCell="E10" sqref="E10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5" width="57" customWidth="1"/>
    <col min="6" max="6" width="18.44140625" bestFit="1" customWidth="1"/>
    <col min="11" max="11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1</v>
      </c>
      <c r="B4">
        <v>66.7</v>
      </c>
      <c r="C4">
        <v>11.2170818505338</v>
      </c>
      <c r="D4">
        <f>B4/100*C4</f>
        <v>7.481793594306045</v>
      </c>
    </row>
    <row r="5" spans="1:4" x14ac:dyDescent="0.3">
      <c r="A5" s="1">
        <v>2</v>
      </c>
      <c r="B5">
        <v>54.599999999999902</v>
      </c>
      <c r="C5">
        <v>11.7010676156583</v>
      </c>
      <c r="D5">
        <f t="shared" ref="D5:D10" si="0">B5/100*C5</f>
        <v>6.3887829181494205</v>
      </c>
    </row>
    <row r="6" spans="1:4" x14ac:dyDescent="0.3">
      <c r="A6" s="1">
        <v>3</v>
      </c>
      <c r="B6">
        <v>54.3</v>
      </c>
      <c r="C6">
        <v>11.302491103202801</v>
      </c>
      <c r="D6">
        <f t="shared" si="0"/>
        <v>6.1372526690391203</v>
      </c>
    </row>
    <row r="7" spans="1:4" x14ac:dyDescent="0.3">
      <c r="A7" s="1">
        <v>4</v>
      </c>
      <c r="B7">
        <v>52.9</v>
      </c>
      <c r="C7">
        <v>11.1886120996441</v>
      </c>
      <c r="D7">
        <f t="shared" si="0"/>
        <v>5.918775800711729</v>
      </c>
    </row>
    <row r="8" spans="1:4" x14ac:dyDescent="0.3">
      <c r="A8" s="1">
        <v>5</v>
      </c>
      <c r="B8">
        <v>47</v>
      </c>
      <c r="C8">
        <v>13.295373665480399</v>
      </c>
      <c r="D8">
        <f t="shared" si="0"/>
        <v>6.2488256227757875</v>
      </c>
    </row>
    <row r="9" spans="1:4" x14ac:dyDescent="0.3">
      <c r="A9" s="1">
        <v>6</v>
      </c>
      <c r="B9">
        <v>43.599999999999902</v>
      </c>
      <c r="C9">
        <v>13.9786476868327</v>
      </c>
      <c r="D9">
        <f t="shared" si="0"/>
        <v>6.0946903914590429</v>
      </c>
    </row>
    <row r="10" spans="1:4" x14ac:dyDescent="0.3">
      <c r="A10" s="1">
        <v>7</v>
      </c>
      <c r="B10">
        <v>42.599999999999902</v>
      </c>
      <c r="C10">
        <v>14.1494661921708</v>
      </c>
      <c r="D10">
        <f t="shared" si="0"/>
        <v>6.0276725978647478</v>
      </c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4E95C820-DD5C-453D-8052-E9990A8824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7123-3432-4BCD-993C-BB4C25187DBA}">
  <dimension ref="A1:D68"/>
  <sheetViews>
    <sheetView workbookViewId="0">
      <selection activeCell="D4" sqref="D4:D10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5" width="57" customWidth="1"/>
    <col min="6" max="6" width="18.44140625" bestFit="1" customWidth="1"/>
    <col min="11" max="11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1</v>
      </c>
      <c r="B4">
        <v>72.599999999999994</v>
      </c>
      <c r="C4">
        <v>6.7473309608540903</v>
      </c>
      <c r="D4">
        <f>B4*C4/100</f>
        <v>4.8985622775800692</v>
      </c>
    </row>
    <row r="5" spans="1:4" x14ac:dyDescent="0.3">
      <c r="A5" s="1">
        <v>2</v>
      </c>
      <c r="B5">
        <v>67</v>
      </c>
      <c r="C5">
        <v>7.0889679715302396</v>
      </c>
      <c r="D5">
        <f t="shared" ref="D5:D10" si="0">B5*C5/100</f>
        <v>4.7496085409252604</v>
      </c>
    </row>
    <row r="6" spans="1:4" x14ac:dyDescent="0.3">
      <c r="A6" s="1">
        <v>3</v>
      </c>
      <c r="B6">
        <v>65.599999999999994</v>
      </c>
      <c r="C6">
        <v>8.1708185053380795</v>
      </c>
      <c r="D6">
        <f t="shared" si="0"/>
        <v>5.3600569395017796</v>
      </c>
    </row>
    <row r="7" spans="1:4" x14ac:dyDescent="0.3">
      <c r="A7" s="1">
        <v>4</v>
      </c>
      <c r="B7">
        <v>62.699999999999903</v>
      </c>
      <c r="C7">
        <v>9.5658362989323802</v>
      </c>
      <c r="D7">
        <f t="shared" si="0"/>
        <v>5.9977793594305933</v>
      </c>
    </row>
    <row r="8" spans="1:4" x14ac:dyDescent="0.3">
      <c r="A8" s="1">
        <v>5</v>
      </c>
      <c r="B8">
        <v>55.199999999999903</v>
      </c>
      <c r="C8">
        <v>11.046263345195699</v>
      </c>
      <c r="D8">
        <f t="shared" si="0"/>
        <v>6.097537366548015</v>
      </c>
    </row>
    <row r="9" spans="1:4" x14ac:dyDescent="0.3">
      <c r="A9" s="1">
        <v>6</v>
      </c>
      <c r="B9">
        <v>55.099999999999902</v>
      </c>
      <c r="C9">
        <v>10.8754448398576</v>
      </c>
      <c r="D9">
        <f t="shared" si="0"/>
        <v>5.9923701067615278</v>
      </c>
    </row>
    <row r="10" spans="1:4" x14ac:dyDescent="0.3">
      <c r="A10" s="1">
        <v>7</v>
      </c>
      <c r="B10">
        <v>54.4</v>
      </c>
      <c r="C10">
        <v>10.334519572953701</v>
      </c>
      <c r="D10">
        <f t="shared" si="0"/>
        <v>5.621978647686813</v>
      </c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C4F77224-A62C-462F-BAC4-C150CDFF25F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ACAF-1EAE-4B90-ACFE-6611E0F4B4C8}">
  <dimension ref="A1:D68"/>
  <sheetViews>
    <sheetView workbookViewId="0">
      <selection activeCell="D4" sqref="D4:D10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5" width="57" customWidth="1"/>
    <col min="6" max="6" width="18.44140625" bestFit="1" customWidth="1"/>
    <col min="11" max="11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1</v>
      </c>
      <c r="B4">
        <v>81.599999999999994</v>
      </c>
      <c r="C4">
        <v>9.5088967971530192</v>
      </c>
      <c r="D4">
        <f>B4*C4/100</f>
        <v>7.7592597864768633</v>
      </c>
    </row>
    <row r="5" spans="1:4" x14ac:dyDescent="0.3">
      <c r="A5" s="1">
        <v>2</v>
      </c>
      <c r="B5">
        <v>70.8</v>
      </c>
      <c r="C5">
        <v>11.046263345195699</v>
      </c>
      <c r="D5">
        <f t="shared" ref="D5:D10" si="0">B5*C5/100</f>
        <v>7.8207544483985547</v>
      </c>
    </row>
    <row r="6" spans="1:4" x14ac:dyDescent="0.3">
      <c r="A6" s="1">
        <v>3</v>
      </c>
      <c r="B6">
        <v>58.699999999999903</v>
      </c>
      <c r="C6">
        <v>9.7651245551601402</v>
      </c>
      <c r="D6">
        <f t="shared" si="0"/>
        <v>5.7321281138789928</v>
      </c>
    </row>
    <row r="7" spans="1:4" x14ac:dyDescent="0.3">
      <c r="A7" s="1">
        <v>4</v>
      </c>
      <c r="B7">
        <v>55.599999999999902</v>
      </c>
      <c r="C7">
        <v>9.5373665480426997</v>
      </c>
      <c r="D7">
        <f t="shared" si="0"/>
        <v>5.3027758007117312</v>
      </c>
    </row>
    <row r="8" spans="1:4" x14ac:dyDescent="0.3">
      <c r="A8" s="1">
        <v>5</v>
      </c>
      <c r="B8">
        <v>55.099999999999902</v>
      </c>
      <c r="C8">
        <v>9.2241992882562194</v>
      </c>
      <c r="D8">
        <f t="shared" si="0"/>
        <v>5.0825338078291677</v>
      </c>
    </row>
    <row r="9" spans="1:4" x14ac:dyDescent="0.3">
      <c r="A9" s="1">
        <v>6</v>
      </c>
      <c r="B9">
        <v>53.099999999999902</v>
      </c>
      <c r="C9">
        <v>9.9644128113879002</v>
      </c>
      <c r="D9">
        <f t="shared" si="0"/>
        <v>5.2911032028469656</v>
      </c>
    </row>
    <row r="10" spans="1:4" x14ac:dyDescent="0.3">
      <c r="A10" s="1">
        <v>7</v>
      </c>
      <c r="B10">
        <v>53.699999999999903</v>
      </c>
      <c r="C10">
        <v>9.7366548042704597</v>
      </c>
      <c r="D10">
        <f t="shared" si="0"/>
        <v>5.2285836298932269</v>
      </c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61B97E0C-36DE-4D23-997D-B98FE8756C6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FDC0-43AE-4B49-9E16-311305786C0A}">
  <dimension ref="A1:D68"/>
  <sheetViews>
    <sheetView workbookViewId="0">
      <selection activeCell="E10" sqref="E10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5" width="57" customWidth="1"/>
    <col min="6" max="6" width="18.44140625" bestFit="1" customWidth="1"/>
    <col min="11" max="11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1</v>
      </c>
      <c r="B4">
        <v>74.5</v>
      </c>
      <c r="C4">
        <v>5.20996441281138</v>
      </c>
      <c r="D4">
        <f>B4*C4/100</f>
        <v>3.8814234875444784</v>
      </c>
    </row>
    <row r="5" spans="1:4" x14ac:dyDescent="0.3">
      <c r="A5" s="1">
        <v>2</v>
      </c>
      <c r="B5">
        <v>72.3</v>
      </c>
      <c r="C5">
        <v>5.7224199288256203</v>
      </c>
      <c r="D5">
        <f t="shared" ref="D5:D10" si="0">B5*C5/100</f>
        <v>4.1373096085409236</v>
      </c>
    </row>
    <row r="6" spans="1:4" x14ac:dyDescent="0.3">
      <c r="A6" s="1">
        <v>3</v>
      </c>
      <c r="B6">
        <v>71.899999999999906</v>
      </c>
      <c r="C6">
        <v>6.5765124555160099</v>
      </c>
      <c r="D6">
        <f t="shared" si="0"/>
        <v>4.7285124555160047</v>
      </c>
    </row>
    <row r="7" spans="1:4" x14ac:dyDescent="0.3">
      <c r="A7" s="1">
        <v>4</v>
      </c>
      <c r="B7">
        <v>67</v>
      </c>
      <c r="C7">
        <v>5.3523131672597799</v>
      </c>
      <c r="D7">
        <f t="shared" si="0"/>
        <v>3.5860498220640524</v>
      </c>
    </row>
    <row r="8" spans="1:4" x14ac:dyDescent="0.3">
      <c r="A8" s="1">
        <v>5</v>
      </c>
      <c r="B8">
        <v>66</v>
      </c>
      <c r="C8">
        <v>5.7508896797153</v>
      </c>
      <c r="D8">
        <f t="shared" si="0"/>
        <v>3.7955871886120978</v>
      </c>
    </row>
    <row r="9" spans="1:4" x14ac:dyDescent="0.3">
      <c r="A9" s="1">
        <v>6</v>
      </c>
      <c r="B9">
        <v>65</v>
      </c>
      <c r="C9">
        <v>6.3487544483985703</v>
      </c>
      <c r="D9">
        <f t="shared" si="0"/>
        <v>4.1266903914590705</v>
      </c>
    </row>
    <row r="10" spans="1:4" x14ac:dyDescent="0.3">
      <c r="A10" s="1">
        <v>7</v>
      </c>
      <c r="B10">
        <v>57.599999999999902</v>
      </c>
      <c r="C10">
        <v>6.8612099644128097</v>
      </c>
      <c r="D10">
        <f t="shared" si="0"/>
        <v>3.9520569395017717</v>
      </c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141FD2E2-83F1-4ED0-BBDA-EC1A9FDB87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Cs-Al2O3-A</vt:lpstr>
      <vt:lpstr>Cs-Al2O3-B</vt:lpstr>
      <vt:lpstr>Cs-Al2O3-C</vt:lpstr>
      <vt:lpstr>Cs-Al2O3-D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2025-10-02T13:45:05Z</dcterms:modified>
</cp:coreProperties>
</file>