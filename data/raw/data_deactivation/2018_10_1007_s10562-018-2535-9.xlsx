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123" documentId="8_{9D455853-956F-47BA-8243-C67C011E5698}" xr6:coauthVersionLast="47" xr6:coauthVersionMax="47" xr10:uidLastSave="{D5AB63EC-5369-4CBE-96D1-1FA30867A452}"/>
  <bookViews>
    <workbookView xWindow="-108" yWindow="-108" windowWidth="23256" windowHeight="12576" xr2:uid="{2F68D1DD-9F67-4156-B0F9-2D4AE0BF44A6}"/>
  </bookViews>
  <sheets>
    <sheet name="Ba-gamma-TiAl2O3" sheetId="26" r:id="rId1"/>
    <sheet name="Ba-Ti-Al2O3" sheetId="25" r:id="rId2"/>
    <sheet name="Ba-Al2O3" sheetId="24" r:id="rId3"/>
    <sheet name="Ba-TiO2" sheetId="22" r:id="rId4"/>
    <sheet name="gamma-TiAl2O3" sheetId="30" r:id="rId5"/>
    <sheet name="Ti-Al2O3" sheetId="29" r:id="rId6"/>
    <sheet name="Al2O3" sheetId="28" r:id="rId7"/>
    <sheet name="TiO2" sheetId="2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6" l="1"/>
  <c r="D15" i="26"/>
  <c r="D13" i="30"/>
  <c r="D12" i="30"/>
  <c r="D11" i="30"/>
  <c r="D10" i="30"/>
  <c r="D9" i="30"/>
  <c r="D8" i="30"/>
  <c r="D7" i="30"/>
  <c r="D6" i="30"/>
  <c r="D5" i="30"/>
  <c r="D4" i="30"/>
  <c r="D13" i="29"/>
  <c r="D12" i="29"/>
  <c r="D11" i="29"/>
  <c r="D10" i="29"/>
  <c r="D9" i="29"/>
  <c r="D8" i="29"/>
  <c r="D7" i="29"/>
  <c r="D6" i="29"/>
  <c r="D5" i="29"/>
  <c r="D4" i="29"/>
  <c r="D13" i="28"/>
  <c r="D12" i="28"/>
  <c r="D11" i="28"/>
  <c r="D10" i="28"/>
  <c r="D9" i="28"/>
  <c r="D8" i="28"/>
  <c r="D7" i="28"/>
  <c r="D6" i="28"/>
  <c r="D5" i="28"/>
  <c r="D4" i="28"/>
  <c r="D13" i="27"/>
  <c r="D12" i="27"/>
  <c r="D11" i="27"/>
  <c r="D10" i="27"/>
  <c r="D9" i="27"/>
  <c r="D8" i="27"/>
  <c r="D7" i="27"/>
  <c r="D6" i="27"/>
  <c r="D5" i="27"/>
  <c r="D4" i="27"/>
  <c r="D5" i="26"/>
  <c r="D6" i="26"/>
  <c r="D7" i="26"/>
  <c r="D8" i="26"/>
  <c r="D9" i="26"/>
  <c r="D10" i="26"/>
  <c r="D11" i="26"/>
  <c r="D12" i="26"/>
  <c r="D13" i="26"/>
  <c r="D4" i="26"/>
  <c r="D5" i="25"/>
  <c r="D6" i="25"/>
  <c r="D7" i="25"/>
  <c r="D8" i="25"/>
  <c r="D9" i="25"/>
  <c r="D10" i="25"/>
  <c r="D11" i="25"/>
  <c r="D12" i="25"/>
  <c r="D13" i="25"/>
  <c r="D4" i="25"/>
  <c r="D5" i="24"/>
  <c r="D6" i="24"/>
  <c r="D7" i="24"/>
  <c r="D8" i="24"/>
  <c r="D9" i="24"/>
  <c r="D10" i="24"/>
  <c r="D11" i="24"/>
  <c r="D12" i="24"/>
  <c r="D13" i="24"/>
  <c r="D4" i="24"/>
  <c r="D5" i="22"/>
  <c r="D6" i="22"/>
  <c r="D7" i="22"/>
  <c r="D8" i="22"/>
  <c r="D9" i="22"/>
  <c r="D10" i="22"/>
  <c r="D11" i="22"/>
  <c r="D12" i="22"/>
  <c r="D13" i="22"/>
  <c r="D4" i="22"/>
</calcChain>
</file>

<file path=xl/sharedStrings.xml><?xml version="1.0" encoding="utf-8"?>
<sst xmlns="http://schemas.openxmlformats.org/spreadsheetml/2006/main" count="48" uniqueCount="6">
  <si>
    <t>DOI</t>
  </si>
  <si>
    <t>Time (h)</t>
  </si>
  <si>
    <t>https://doi.org/10.1007/s10562-018-2535-9</t>
  </si>
  <si>
    <t>X_Ac</t>
  </si>
  <si>
    <t>S_Ac_Acryl</t>
  </si>
  <si>
    <t>Y_Ac_Acryl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</si>
</sst>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7/s10562-018-2535-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7/s10562-018-2535-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7/s10562-018-2535-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7/s10562-018-2535-9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007/s10562-018-2535-9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oi.org/10.1007/s10562-018-2535-9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oi.org/10.1007/s10562-018-2535-9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doi.org/10.1007/s10562-018-2535-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08C57-3E29-40A9-85CA-62CD65A5BD5D}">
  <dimension ref="A1:F68"/>
  <sheetViews>
    <sheetView tabSelected="1" workbookViewId="0">
      <selection activeCell="C17" sqref="C17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  <c r="D3" t="s">
        <v>5</v>
      </c>
    </row>
    <row r="4" spans="1:4" x14ac:dyDescent="0.3">
      <c r="A4" s="1">
        <v>1</v>
      </c>
      <c r="B4" s="1">
        <v>49.7492617041502</v>
      </c>
      <c r="C4" s="1">
        <v>89.679901181729505</v>
      </c>
      <c r="D4">
        <f>B4*C4/100</f>
        <v>44.615088734921898</v>
      </c>
    </row>
    <row r="5" spans="1:4" x14ac:dyDescent="0.3">
      <c r="A5" s="1">
        <v>2</v>
      </c>
      <c r="B5" s="1">
        <v>43.470859270568504</v>
      </c>
      <c r="C5" s="1">
        <v>91.019293700893598</v>
      </c>
      <c r="D5">
        <f t="shared" ref="D5:D15" si="0">B5*C5/100</f>
        <v>39.566869073780879</v>
      </c>
    </row>
    <row r="6" spans="1:4" x14ac:dyDescent="0.3">
      <c r="A6" s="1">
        <v>3</v>
      </c>
      <c r="B6" s="1">
        <v>41.210634394479101</v>
      </c>
      <c r="C6" s="1">
        <v>90.265885408863795</v>
      </c>
      <c r="D6">
        <f t="shared" si="0"/>
        <v>37.199144018786313</v>
      </c>
    </row>
    <row r="7" spans="1:4" x14ac:dyDescent="0.3">
      <c r="A7" s="1">
        <v>4</v>
      </c>
      <c r="B7" s="1">
        <v>37.1087448045391</v>
      </c>
      <c r="C7" s="1">
        <v>91.437853863132403</v>
      </c>
      <c r="D7">
        <f t="shared" si="0"/>
        <v>33.931439844817199</v>
      </c>
    </row>
    <row r="8" spans="1:4" x14ac:dyDescent="0.3">
      <c r="A8" s="1">
        <v>5</v>
      </c>
      <c r="B8" s="1">
        <v>36.187912447613797</v>
      </c>
      <c r="C8" s="1">
        <v>91.354141830684597</v>
      </c>
      <c r="D8">
        <f t="shared" si="0"/>
        <v>33.059156862957074</v>
      </c>
    </row>
    <row r="9" spans="1:4" x14ac:dyDescent="0.3">
      <c r="A9" s="1">
        <v>6</v>
      </c>
      <c r="B9" s="1">
        <v>34.011399603972102</v>
      </c>
      <c r="C9" s="1">
        <v>91.354141830684597</v>
      </c>
      <c r="D9">
        <f t="shared" si="0"/>
        <v>31.070822232813569</v>
      </c>
    </row>
    <row r="10" spans="1:4" x14ac:dyDescent="0.3">
      <c r="A10" s="1">
        <v>7</v>
      </c>
      <c r="B10" s="1">
        <v>32.588295052360301</v>
      </c>
      <c r="C10" s="1">
        <v>91.605277928027903</v>
      </c>
      <c r="D10">
        <f t="shared" si="0"/>
        <v>29.852598254720419</v>
      </c>
    </row>
    <row r="11" spans="1:4" x14ac:dyDescent="0.3">
      <c r="A11" s="1">
        <v>8</v>
      </c>
      <c r="B11" s="1">
        <v>32.002310825225997</v>
      </c>
      <c r="C11" s="1">
        <v>91.521565895580096</v>
      </c>
      <c r="D11">
        <f t="shared" si="0"/>
        <v>29.289015990017575</v>
      </c>
    </row>
    <row r="12" spans="1:4" x14ac:dyDescent="0.3">
      <c r="A12" s="1">
        <v>9</v>
      </c>
      <c r="B12" s="1">
        <v>30.997766435852899</v>
      </c>
      <c r="C12" s="1">
        <v>91.688989960475595</v>
      </c>
      <c r="D12">
        <f t="shared" si="0"/>
        <v>28.421538955340839</v>
      </c>
    </row>
    <row r="13" spans="1:4" x14ac:dyDescent="0.3">
      <c r="A13" s="1">
        <v>10</v>
      </c>
      <c r="B13" s="1">
        <v>29.4072378193456</v>
      </c>
      <c r="C13" s="1">
        <v>90.851869635998099</v>
      </c>
      <c r="D13">
        <f t="shared" si="0"/>
        <v>26.717025367179794</v>
      </c>
    </row>
    <row r="14" spans="1:4" x14ac:dyDescent="0.3">
      <c r="A14" s="1">
        <v>27.591240875912401</v>
      </c>
      <c r="B14">
        <v>25.806451612903199</v>
      </c>
      <c r="C14">
        <v>90.1433691756272</v>
      </c>
      <c r="D14">
        <f t="shared" si="0"/>
        <v>23.262804948548933</v>
      </c>
    </row>
    <row r="15" spans="1:4" x14ac:dyDescent="0.3">
      <c r="A15" s="1">
        <v>52.554744525547399</v>
      </c>
      <c r="B15">
        <v>19.175627240143299</v>
      </c>
      <c r="C15">
        <v>89.964157706093104</v>
      </c>
      <c r="D15">
        <f t="shared" si="0"/>
        <v>17.251191531455067</v>
      </c>
    </row>
    <row r="16" spans="1:4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917F98D7-D8DA-4EB0-967D-8099EFB5D7B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94FF-C3AA-478D-817F-E5896EE33DC6}">
  <dimension ref="A1:F68"/>
  <sheetViews>
    <sheetView workbookViewId="0">
      <selection activeCell="A4" sqref="A4:A1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  <c r="D3" t="s">
        <v>5</v>
      </c>
    </row>
    <row r="4" spans="1:4" x14ac:dyDescent="0.3">
      <c r="A4" s="1">
        <v>1</v>
      </c>
      <c r="B4" s="1">
        <v>41.880330654061197</v>
      </c>
      <c r="C4" s="1">
        <v>89.763613214177298</v>
      </c>
      <c r="D4">
        <f>B4*C4/100</f>
        <v>37.593298021130025</v>
      </c>
    </row>
    <row r="5" spans="1:4" x14ac:dyDescent="0.3">
      <c r="A5" s="1">
        <v>2</v>
      </c>
      <c r="B5" s="1">
        <v>36.355336512509297</v>
      </c>
      <c r="C5" s="1">
        <v>90.935581668445806</v>
      </c>
      <c r="D5">
        <f t="shared" ref="D5:D13" si="0">B5*C5/100</f>
        <v>33.059936725171184</v>
      </c>
    </row>
    <row r="6" spans="1:4" x14ac:dyDescent="0.3">
      <c r="A6" s="1">
        <v>3</v>
      </c>
      <c r="B6" s="1">
        <v>33.676551474181103</v>
      </c>
      <c r="C6" s="1">
        <v>90.014749311520504</v>
      </c>
      <c r="D6">
        <f t="shared" si="0"/>
        <v>30.313863386249281</v>
      </c>
    </row>
    <row r="7" spans="1:4" x14ac:dyDescent="0.3">
      <c r="A7" s="1">
        <v>4</v>
      </c>
      <c r="B7" s="1">
        <v>32.9231431821513</v>
      </c>
      <c r="C7" s="1">
        <v>90.517021506207101</v>
      </c>
      <c r="D7">
        <f t="shared" si="0"/>
        <v>29.80104859470725</v>
      </c>
    </row>
    <row r="8" spans="1:4" x14ac:dyDescent="0.3">
      <c r="A8" s="1">
        <v>5</v>
      </c>
      <c r="B8" s="1">
        <v>30.662918306061901</v>
      </c>
      <c r="C8" s="1">
        <v>90.935581668445806</v>
      </c>
      <c r="D8">
        <f t="shared" si="0"/>
        <v>27.883503118137739</v>
      </c>
    </row>
    <row r="9" spans="1:4" x14ac:dyDescent="0.3">
      <c r="A9" s="1">
        <v>6</v>
      </c>
      <c r="B9" s="1">
        <v>29.072389689554601</v>
      </c>
      <c r="C9" s="1">
        <v>90.6844455711026</v>
      </c>
      <c r="D9">
        <f t="shared" si="0"/>
        <v>26.364135404242987</v>
      </c>
    </row>
    <row r="10" spans="1:4" x14ac:dyDescent="0.3">
      <c r="A10" s="1">
        <v>7</v>
      </c>
      <c r="B10" s="1">
        <v>27.732997170390501</v>
      </c>
      <c r="C10" s="1">
        <v>90.6844455711026</v>
      </c>
      <c r="D10">
        <f t="shared" si="0"/>
        <v>25.149514724218196</v>
      </c>
    </row>
    <row r="11" spans="1:4" x14ac:dyDescent="0.3">
      <c r="A11" s="1">
        <v>8</v>
      </c>
      <c r="B11" s="1">
        <v>25.1379241645101</v>
      </c>
      <c r="C11" s="1">
        <v>90.6844455711026</v>
      </c>
      <c r="D11">
        <f t="shared" si="0"/>
        <v>22.796187156670207</v>
      </c>
    </row>
    <row r="12" spans="1:4" x14ac:dyDescent="0.3">
      <c r="A12" s="1">
        <v>9</v>
      </c>
      <c r="B12" s="1">
        <v>25.556484326748802</v>
      </c>
      <c r="C12" s="1">
        <v>91.354141830684597</v>
      </c>
      <c r="D12">
        <f t="shared" si="0"/>
        <v>23.346906938794778</v>
      </c>
    </row>
    <row r="13" spans="1:4" x14ac:dyDescent="0.3">
      <c r="A13" s="1">
        <v>10</v>
      </c>
      <c r="B13" s="1">
        <v>24.970500099614501</v>
      </c>
      <c r="C13" s="1">
        <v>90.600733538654794</v>
      </c>
      <c r="D13">
        <f t="shared" si="0"/>
        <v>22.623456258521266</v>
      </c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721223DE-92F8-4CEB-9F75-EB09D86CDCB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C8F1C-5DAE-4A1A-8586-669DB1A164BF}">
  <dimension ref="A1:D68"/>
  <sheetViews>
    <sheetView workbookViewId="0">
      <selection activeCell="A4" sqref="A4:A1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  <c r="D3" t="s">
        <v>5</v>
      </c>
    </row>
    <row r="4" spans="1:4" x14ac:dyDescent="0.3">
      <c r="A4" s="1">
        <v>1</v>
      </c>
      <c r="B4" s="1">
        <v>41.126922362031401</v>
      </c>
      <c r="C4" s="1">
        <v>89.931037279072797</v>
      </c>
      <c r="D4">
        <f>B4*C4/100</f>
        <v>36.985867881133785</v>
      </c>
    </row>
    <row r="5" spans="1:4" x14ac:dyDescent="0.3">
      <c r="A5" s="1">
        <v>2</v>
      </c>
      <c r="B5" s="1">
        <v>39.620105777971702</v>
      </c>
      <c r="C5" s="1">
        <v>91.270429798236904</v>
      </c>
      <c r="D5">
        <f t="shared" ref="D5:D13" si="0">B5*C5/100</f>
        <v>36.161440830070866</v>
      </c>
    </row>
    <row r="6" spans="1:4" x14ac:dyDescent="0.3">
      <c r="A6" s="1">
        <v>3</v>
      </c>
      <c r="B6" s="1">
        <v>33.341703344390098</v>
      </c>
      <c r="C6" s="1">
        <v>92.1075501227144</v>
      </c>
      <c r="D6">
        <f t="shared" si="0"/>
        <v>30.710226119700852</v>
      </c>
    </row>
    <row r="7" spans="1:4" x14ac:dyDescent="0.3">
      <c r="A7" s="1">
        <v>4</v>
      </c>
      <c r="B7" s="1">
        <v>32.504583019912502</v>
      </c>
      <c r="C7" s="1">
        <v>91.772701992923402</v>
      </c>
      <c r="D7">
        <f t="shared" si="0"/>
        <v>29.830334108906683</v>
      </c>
    </row>
    <row r="8" spans="1:4" x14ac:dyDescent="0.3">
      <c r="A8" s="1">
        <v>5</v>
      </c>
      <c r="B8" s="1">
        <v>31.918598792778301</v>
      </c>
      <c r="C8" s="1">
        <v>91.437853863132403</v>
      </c>
      <c r="D8">
        <f t="shared" si="0"/>
        <v>29.185681719300163</v>
      </c>
    </row>
    <row r="9" spans="1:4" x14ac:dyDescent="0.3">
      <c r="A9" s="1">
        <v>6</v>
      </c>
      <c r="B9" s="1">
        <v>29.4072378193456</v>
      </c>
      <c r="C9" s="1">
        <v>90.6844455711026</v>
      </c>
      <c r="D9">
        <f t="shared" si="0"/>
        <v>26.66779057424916</v>
      </c>
    </row>
    <row r="10" spans="1:4" x14ac:dyDescent="0.3">
      <c r="A10" s="1">
        <v>7</v>
      </c>
      <c r="B10" s="1">
        <v>27.481861073047199</v>
      </c>
      <c r="C10" s="1">
        <v>92.191262155162207</v>
      </c>
      <c r="D10">
        <f t="shared" si="0"/>
        <v>25.335874586970416</v>
      </c>
    </row>
    <row r="11" spans="1:4" x14ac:dyDescent="0.3">
      <c r="A11" s="1">
        <v>8</v>
      </c>
      <c r="B11" s="1">
        <v>27.649285137942702</v>
      </c>
      <c r="C11" s="1">
        <v>91.688989960475595</v>
      </c>
      <c r="D11">
        <f t="shared" si="0"/>
        <v>25.351350274271553</v>
      </c>
    </row>
    <row r="12" spans="1:4" x14ac:dyDescent="0.3">
      <c r="A12" s="1">
        <v>9</v>
      </c>
      <c r="B12" s="1">
        <v>27.732997170390501</v>
      </c>
      <c r="C12" s="1">
        <v>91.437853863132403</v>
      </c>
      <c r="D12">
        <f t="shared" si="0"/>
        <v>25.358457424528311</v>
      </c>
    </row>
    <row r="13" spans="1:4" x14ac:dyDescent="0.3">
      <c r="A13" s="1">
        <v>10</v>
      </c>
      <c r="B13" s="1">
        <v>27.2307249757039</v>
      </c>
      <c r="C13" s="1">
        <v>91.772701992923402</v>
      </c>
      <c r="D13">
        <f t="shared" si="0"/>
        <v>24.990372082465306</v>
      </c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E8E87D55-0CC6-48F4-9227-0B2AE189E81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F2D11-88A6-4CAA-9243-C72702CE222E}">
  <dimension ref="A1:D68"/>
  <sheetViews>
    <sheetView workbookViewId="0">
      <selection activeCell="A4" sqref="A4:A1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  <c r="D3" t="s">
        <v>5</v>
      </c>
    </row>
    <row r="4" spans="1:4" x14ac:dyDescent="0.3">
      <c r="A4" s="1">
        <v>1</v>
      </c>
      <c r="B4" s="1">
        <v>22.710275223525201</v>
      </c>
      <c r="C4" s="1">
        <v>92.274974187609899</v>
      </c>
      <c r="D4">
        <f>B4*C4/100</f>
        <v>20.955900600443048</v>
      </c>
    </row>
    <row r="5" spans="1:4" x14ac:dyDescent="0.3">
      <c r="A5" s="1">
        <v>2</v>
      </c>
      <c r="B5" s="1">
        <v>17.185281081973301</v>
      </c>
      <c r="C5" s="1">
        <v>91.688989960475595</v>
      </c>
      <c r="D5">
        <f t="shared" ref="D5:D13" si="0">B5*C5/100</f>
        <v>15.757010645930011</v>
      </c>
    </row>
    <row r="6" spans="1:4" x14ac:dyDescent="0.3">
      <c r="A6" s="1">
        <v>3</v>
      </c>
      <c r="B6" s="1">
        <v>16.431872789943501</v>
      </c>
      <c r="C6" s="1">
        <v>92.442398252505399</v>
      </c>
      <c r="D6">
        <f t="shared" si="0"/>
        <v>15.190017284824641</v>
      </c>
    </row>
    <row r="7" spans="1:4" x14ac:dyDescent="0.3">
      <c r="A7" s="1">
        <v>4</v>
      </c>
      <c r="B7" s="1">
        <v>15.5947524654659</v>
      </c>
      <c r="C7" s="1">
        <v>92.1075501227144</v>
      </c>
      <c r="D7">
        <f t="shared" si="0"/>
        <v>14.363944443642245</v>
      </c>
    </row>
    <row r="8" spans="1:4" x14ac:dyDescent="0.3">
      <c r="A8" s="1">
        <v>5</v>
      </c>
      <c r="B8" s="1">
        <v>13.9205118165108</v>
      </c>
      <c r="C8" s="1">
        <v>92.023838090266693</v>
      </c>
      <c r="D8">
        <f t="shared" si="0"/>
        <v>12.81018925536234</v>
      </c>
    </row>
    <row r="9" spans="1:4" x14ac:dyDescent="0.3">
      <c r="A9" s="1">
        <v>6</v>
      </c>
      <c r="B9" s="1">
        <v>13.9205118165108</v>
      </c>
      <c r="C9" s="1">
        <v>91.688989960475595</v>
      </c>
      <c r="D9">
        <f t="shared" si="0"/>
        <v>12.763576681887407</v>
      </c>
    </row>
    <row r="10" spans="1:4" x14ac:dyDescent="0.3">
      <c r="A10" s="1">
        <v>7</v>
      </c>
      <c r="B10" s="1">
        <v>13.5019516542721</v>
      </c>
      <c r="C10" s="1">
        <v>92.609822317400997</v>
      </c>
      <c r="D10">
        <f t="shared" si="0"/>
        <v>12.504133436402777</v>
      </c>
    </row>
    <row r="11" spans="1:4" x14ac:dyDescent="0.3">
      <c r="A11" s="1">
        <v>8</v>
      </c>
      <c r="B11" s="1">
        <v>13.250815556928799</v>
      </c>
      <c r="C11">
        <v>91.772701992923402</v>
      </c>
      <c r="D11">
        <f t="shared" si="0"/>
        <v>12.1606314726922</v>
      </c>
    </row>
    <row r="12" spans="1:4" x14ac:dyDescent="0.3">
      <c r="A12" s="1">
        <v>9</v>
      </c>
      <c r="B12" s="1">
        <v>12.497407264899</v>
      </c>
      <c r="C12" s="1">
        <v>91.772701992923402</v>
      </c>
      <c r="D12">
        <f t="shared" si="0"/>
        <v>11.46920832605772</v>
      </c>
    </row>
    <row r="13" spans="1:4" x14ac:dyDescent="0.3">
      <c r="A13" s="1">
        <v>10</v>
      </c>
      <c r="B13" s="1">
        <v>12.246271167555699</v>
      </c>
      <c r="C13" s="1">
        <v>90.851869635998099</v>
      </c>
      <c r="D13">
        <f t="shared" si="0"/>
        <v>11.125966316418525</v>
      </c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3" spans="1:1" x14ac:dyDescent="0.3">
      <c r="A2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F77D12BB-0D6F-4F2B-93F7-DB8887AD17A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428F8-DF61-4EB0-9A15-FAAFB3C10F26}">
  <dimension ref="A1:D68"/>
  <sheetViews>
    <sheetView workbookViewId="0">
      <selection activeCell="E11" sqref="E11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  <c r="D3" t="s">
        <v>5</v>
      </c>
    </row>
    <row r="4" spans="1:4" x14ac:dyDescent="0.3">
      <c r="A4" s="1">
        <v>1</v>
      </c>
      <c r="B4">
        <v>51.624548736462003</v>
      </c>
      <c r="C4">
        <v>64.801444043321197</v>
      </c>
      <c r="D4">
        <f>B4*C4/100</f>
        <v>33.453453062075504</v>
      </c>
    </row>
    <row r="5" spans="1:4" x14ac:dyDescent="0.3">
      <c r="A5" s="1">
        <v>2</v>
      </c>
      <c r="B5">
        <v>46.028880866425901</v>
      </c>
      <c r="C5">
        <v>65.884476534295999</v>
      </c>
      <c r="D5">
        <f t="shared" ref="D5:D13" si="0">B5*C5/100</f>
        <v>30.325887213439433</v>
      </c>
    </row>
    <row r="6" spans="1:4" x14ac:dyDescent="0.3">
      <c r="A6" s="1">
        <v>3</v>
      </c>
      <c r="B6">
        <v>43.862815884476497</v>
      </c>
      <c r="C6">
        <v>66.064981949458399</v>
      </c>
      <c r="D6">
        <f t="shared" si="0"/>
        <v>28.977961396603568</v>
      </c>
    </row>
    <row r="7" spans="1:4" x14ac:dyDescent="0.3">
      <c r="A7" s="1">
        <v>4</v>
      </c>
      <c r="B7">
        <v>39.169675090252703</v>
      </c>
      <c r="C7">
        <v>65.523465703971098</v>
      </c>
      <c r="D7">
        <f t="shared" si="0"/>
        <v>25.665328624118636</v>
      </c>
    </row>
    <row r="8" spans="1:4" x14ac:dyDescent="0.3">
      <c r="A8" s="1">
        <v>5</v>
      </c>
      <c r="B8">
        <v>37.003610108303199</v>
      </c>
      <c r="C8">
        <v>67.509025270758102</v>
      </c>
      <c r="D8">
        <f t="shared" si="0"/>
        <v>24.980776499107204</v>
      </c>
    </row>
    <row r="9" spans="1:4" x14ac:dyDescent="0.3">
      <c r="A9" s="1">
        <v>6</v>
      </c>
      <c r="B9">
        <v>35.198555956678597</v>
      </c>
      <c r="C9">
        <v>65.162454873646197</v>
      </c>
      <c r="D9">
        <f t="shared" si="0"/>
        <v>22.936243141445797</v>
      </c>
    </row>
    <row r="10" spans="1:4" x14ac:dyDescent="0.3">
      <c r="A10" s="1">
        <v>7</v>
      </c>
      <c r="B10">
        <v>32.8519855595667</v>
      </c>
      <c r="C10">
        <v>66.064981949458399</v>
      </c>
      <c r="D10">
        <f t="shared" si="0"/>
        <v>21.703658329966419</v>
      </c>
    </row>
    <row r="11" spans="1:4" x14ac:dyDescent="0.3">
      <c r="A11" s="1">
        <v>8</v>
      </c>
      <c r="B11">
        <v>32.490974729241799</v>
      </c>
      <c r="C11">
        <v>65.523465703971098</v>
      </c>
      <c r="D11">
        <f t="shared" si="0"/>
        <v>21.289212683600667</v>
      </c>
    </row>
    <row r="12" spans="1:4" x14ac:dyDescent="0.3">
      <c r="A12" s="1">
        <v>9</v>
      </c>
      <c r="B12">
        <v>31.0469314079422</v>
      </c>
      <c r="C12">
        <v>67.870036101083002</v>
      </c>
      <c r="D12">
        <f t="shared" si="0"/>
        <v>21.071563554848851</v>
      </c>
    </row>
    <row r="13" spans="1:4" x14ac:dyDescent="0.3">
      <c r="A13" s="1">
        <v>10</v>
      </c>
      <c r="B13">
        <v>29.963898916967501</v>
      </c>
      <c r="C13">
        <v>65.884476534295999</v>
      </c>
      <c r="D13">
        <f t="shared" si="0"/>
        <v>19.741557950709627</v>
      </c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3" spans="1:1" x14ac:dyDescent="0.3">
      <c r="A2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E3037D76-A646-4A3F-9FCE-9B6100B02B16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F6219-5ACF-4EE2-8392-D9D15E54C8F6}">
  <dimension ref="A1:D68"/>
  <sheetViews>
    <sheetView workbookViewId="0">
      <selection activeCell="E16" sqref="E16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  <c r="D3" t="s">
        <v>5</v>
      </c>
    </row>
    <row r="4" spans="1:4" x14ac:dyDescent="0.3">
      <c r="A4" s="1">
        <v>1</v>
      </c>
      <c r="B4">
        <v>46.028880866425901</v>
      </c>
      <c r="C4">
        <v>58.483754512635301</v>
      </c>
      <c r="D4">
        <f>B4*C4/100</f>
        <v>26.919417690833885</v>
      </c>
    </row>
    <row r="5" spans="1:4" x14ac:dyDescent="0.3">
      <c r="A5" s="1">
        <v>2</v>
      </c>
      <c r="B5">
        <v>44.043321299638897</v>
      </c>
      <c r="C5">
        <v>57.942238267147999</v>
      </c>
      <c r="D5">
        <f t="shared" ref="D5:D13" si="0">B5*C5/100</f>
        <v>25.519686168202316</v>
      </c>
    </row>
    <row r="6" spans="1:4" x14ac:dyDescent="0.3">
      <c r="A6" s="1">
        <v>3</v>
      </c>
      <c r="B6">
        <v>38.267148014440401</v>
      </c>
      <c r="C6">
        <v>56.859205776173198</v>
      </c>
      <c r="D6">
        <f t="shared" si="0"/>
        <v>21.758396434203448</v>
      </c>
    </row>
    <row r="7" spans="1:4" x14ac:dyDescent="0.3">
      <c r="A7" s="1">
        <v>4</v>
      </c>
      <c r="B7">
        <v>36.101083032490898</v>
      </c>
      <c r="C7">
        <v>55.776173285198503</v>
      </c>
      <c r="D7">
        <f t="shared" si="0"/>
        <v>20.135802630035517</v>
      </c>
    </row>
    <row r="8" spans="1:4" x14ac:dyDescent="0.3">
      <c r="A8" s="1">
        <v>5</v>
      </c>
      <c r="B8">
        <v>34.115523465703902</v>
      </c>
      <c r="C8">
        <v>55.956678700361003</v>
      </c>
      <c r="D8">
        <f t="shared" si="0"/>
        <v>19.089913852650195</v>
      </c>
    </row>
    <row r="9" spans="1:4" x14ac:dyDescent="0.3">
      <c r="A9" s="1">
        <v>6</v>
      </c>
      <c r="B9">
        <v>33.0324909747292</v>
      </c>
      <c r="C9">
        <v>56.317689530685897</v>
      </c>
      <c r="D9">
        <f t="shared" si="0"/>
        <v>18.60313571139983</v>
      </c>
    </row>
    <row r="10" spans="1:4" x14ac:dyDescent="0.3">
      <c r="A10" s="1">
        <v>7</v>
      </c>
      <c r="B10">
        <v>31.2274368231046</v>
      </c>
      <c r="C10">
        <v>57.220216606498099</v>
      </c>
      <c r="D10">
        <f t="shared" si="0"/>
        <v>17.868406990837801</v>
      </c>
    </row>
    <row r="11" spans="1:4" x14ac:dyDescent="0.3">
      <c r="A11" s="1">
        <v>8</v>
      </c>
      <c r="B11">
        <v>29.963898916967501</v>
      </c>
      <c r="C11">
        <v>58.844765342960201</v>
      </c>
      <c r="D11">
        <f t="shared" si="0"/>
        <v>17.63218600529132</v>
      </c>
    </row>
    <row r="12" spans="1:4" x14ac:dyDescent="0.3">
      <c r="A12" s="1">
        <v>9</v>
      </c>
      <c r="B12">
        <v>29.422382671480101</v>
      </c>
      <c r="C12">
        <v>56.317689530685897</v>
      </c>
      <c r="D12">
        <f t="shared" si="0"/>
        <v>16.570006125454491</v>
      </c>
    </row>
    <row r="13" spans="1:4" x14ac:dyDescent="0.3">
      <c r="A13" s="1">
        <v>10</v>
      </c>
      <c r="B13">
        <v>28.339350180505399</v>
      </c>
      <c r="C13">
        <v>55.776173285198503</v>
      </c>
      <c r="D13">
        <f t="shared" si="0"/>
        <v>15.806605064577907</v>
      </c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3" spans="1:1" x14ac:dyDescent="0.3">
      <c r="A2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1B0F36E3-2301-42EF-93EF-3CAA52C6D9A3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6DD88-8FF7-4E7B-9C96-0FE1919985C8}">
  <dimension ref="A1:D68"/>
  <sheetViews>
    <sheetView workbookViewId="0">
      <selection activeCell="E15" sqref="E15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  <c r="D3" t="s">
        <v>5</v>
      </c>
    </row>
    <row r="4" spans="1:4" x14ac:dyDescent="0.3">
      <c r="A4" s="1">
        <v>1</v>
      </c>
      <c r="B4">
        <v>47.472924187725603</v>
      </c>
      <c r="C4">
        <v>61.371841155234598</v>
      </c>
      <c r="D4">
        <f>B4*C4/100</f>
        <v>29.1350076242359</v>
      </c>
    </row>
    <row r="5" spans="1:4" x14ac:dyDescent="0.3">
      <c r="A5" s="1">
        <v>2</v>
      </c>
      <c r="B5">
        <v>42.599277978339302</v>
      </c>
      <c r="C5">
        <v>61.552346570397098</v>
      </c>
      <c r="D5">
        <f t="shared" ref="D5:D13" si="0">B5*C5/100</f>
        <v>26.220855217714256</v>
      </c>
    </row>
    <row r="6" spans="1:4" x14ac:dyDescent="0.3">
      <c r="A6" s="1">
        <v>3</v>
      </c>
      <c r="B6">
        <v>39.350180505415103</v>
      </c>
      <c r="C6">
        <v>63.357400722021602</v>
      </c>
      <c r="D6">
        <f t="shared" si="0"/>
        <v>24.931251547654675</v>
      </c>
    </row>
    <row r="7" spans="1:4" x14ac:dyDescent="0.3">
      <c r="A7" s="1">
        <v>4</v>
      </c>
      <c r="B7">
        <v>37.5451263537906</v>
      </c>
      <c r="C7">
        <v>60.288808664259903</v>
      </c>
      <c r="D7">
        <f t="shared" si="0"/>
        <v>22.635509390191437</v>
      </c>
    </row>
    <row r="8" spans="1:4" x14ac:dyDescent="0.3">
      <c r="A8" s="1">
        <v>5</v>
      </c>
      <c r="B8">
        <v>36.101083032490898</v>
      </c>
      <c r="C8">
        <v>61.371841155234598</v>
      </c>
      <c r="D8">
        <f t="shared" si="0"/>
        <v>22.155899334019665</v>
      </c>
    </row>
    <row r="9" spans="1:4" x14ac:dyDescent="0.3">
      <c r="A9" s="1">
        <v>6</v>
      </c>
      <c r="B9">
        <v>34.657039711191302</v>
      </c>
      <c r="C9">
        <v>62.4548736462093</v>
      </c>
      <c r="D9">
        <f t="shared" si="0"/>
        <v>21.645010361141107</v>
      </c>
    </row>
    <row r="10" spans="1:4" x14ac:dyDescent="0.3">
      <c r="A10" s="1">
        <v>7</v>
      </c>
      <c r="B10">
        <v>33.0324909747292</v>
      </c>
      <c r="C10">
        <v>61.191335740072098</v>
      </c>
      <c r="D10">
        <f t="shared" si="0"/>
        <v>20.213022455655558</v>
      </c>
    </row>
    <row r="11" spans="1:4" x14ac:dyDescent="0.3">
      <c r="A11" s="1">
        <v>8</v>
      </c>
      <c r="B11">
        <v>31.768953068592001</v>
      </c>
      <c r="C11">
        <v>61.913357400721999</v>
      </c>
      <c r="D11">
        <f t="shared" si="0"/>
        <v>19.669225455825003</v>
      </c>
    </row>
    <row r="12" spans="1:4" x14ac:dyDescent="0.3">
      <c r="A12" s="1">
        <v>9</v>
      </c>
      <c r="B12">
        <v>29.422382671480101</v>
      </c>
      <c r="C12">
        <v>62.815884476534201</v>
      </c>
      <c r="D12">
        <f t="shared" si="0"/>
        <v>18.481929909160758</v>
      </c>
    </row>
    <row r="13" spans="1:4" x14ac:dyDescent="0.3">
      <c r="A13" s="1">
        <v>10</v>
      </c>
      <c r="B13">
        <v>29.0613718411552</v>
      </c>
      <c r="C13">
        <v>61.191335740072098</v>
      </c>
      <c r="D13">
        <f t="shared" si="0"/>
        <v>17.783041613992051</v>
      </c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3" spans="1:1" x14ac:dyDescent="0.3">
      <c r="A2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85711DA1-3EFC-4DD8-A592-D342FAD0A627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58255-ACE4-4CCB-9842-6BCFB246BA35}">
  <dimension ref="A1:D68"/>
  <sheetViews>
    <sheetView workbookViewId="0">
      <selection activeCell="E8" sqref="E8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  <c r="D3" t="s">
        <v>5</v>
      </c>
    </row>
    <row r="4" spans="1:4" x14ac:dyDescent="0.3">
      <c r="A4" s="1">
        <v>1</v>
      </c>
      <c r="B4">
        <v>16.787003610108201</v>
      </c>
      <c r="C4">
        <v>61.913357400721999</v>
      </c>
      <c r="D4">
        <f>B4*C4/100</f>
        <v>10.393397541998395</v>
      </c>
    </row>
    <row r="5" spans="1:4" x14ac:dyDescent="0.3">
      <c r="A5" s="1">
        <v>2</v>
      </c>
      <c r="B5">
        <v>15.3429602888086</v>
      </c>
      <c r="C5">
        <v>66.064981949458399</v>
      </c>
      <c r="D5">
        <f t="shared" ref="D5:D13" si="0">B5*C5/100</f>
        <v>10.136323945313972</v>
      </c>
    </row>
    <row r="6" spans="1:4" x14ac:dyDescent="0.3">
      <c r="A6" s="1">
        <v>3</v>
      </c>
      <c r="B6">
        <v>13.718411552346501</v>
      </c>
      <c r="C6">
        <v>65.342960288808598</v>
      </c>
      <c r="D6">
        <f t="shared" si="0"/>
        <v>8.964016212905106</v>
      </c>
    </row>
    <row r="7" spans="1:4" x14ac:dyDescent="0.3">
      <c r="A7" s="1">
        <v>4</v>
      </c>
      <c r="B7">
        <v>13.5379061371841</v>
      </c>
      <c r="C7">
        <v>66.245487364620899</v>
      </c>
      <c r="D7">
        <f t="shared" si="0"/>
        <v>8.9682518995425298</v>
      </c>
    </row>
    <row r="8" spans="1:4" x14ac:dyDescent="0.3">
      <c r="A8" s="1">
        <v>5</v>
      </c>
      <c r="B8">
        <v>13.3574007220216</v>
      </c>
      <c r="C8">
        <v>64.801444043321197</v>
      </c>
      <c r="D8">
        <f t="shared" si="0"/>
        <v>8.6557885545230082</v>
      </c>
    </row>
    <row r="9" spans="1:4" x14ac:dyDescent="0.3">
      <c r="A9" s="1">
        <v>6</v>
      </c>
      <c r="B9">
        <v>13.1768953068591</v>
      </c>
      <c r="C9">
        <v>63.537906137184102</v>
      </c>
      <c r="D9">
        <f t="shared" si="0"/>
        <v>8.3723233718671519</v>
      </c>
    </row>
    <row r="10" spans="1:4" x14ac:dyDescent="0.3">
      <c r="A10" s="1">
        <v>7</v>
      </c>
      <c r="B10">
        <v>12.4548736462093</v>
      </c>
      <c r="C10">
        <v>64.620938628158797</v>
      </c>
      <c r="D10">
        <f t="shared" si="0"/>
        <v>8.0484562551316348</v>
      </c>
    </row>
    <row r="11" spans="1:4" x14ac:dyDescent="0.3">
      <c r="A11" s="1">
        <v>8</v>
      </c>
      <c r="B11">
        <v>12.4548736462093</v>
      </c>
      <c r="C11">
        <v>66.064981949458399</v>
      </c>
      <c r="D11">
        <f t="shared" si="0"/>
        <v>8.2283100261960254</v>
      </c>
    </row>
    <row r="12" spans="1:4" x14ac:dyDescent="0.3">
      <c r="A12" s="1">
        <v>9</v>
      </c>
      <c r="B12">
        <v>11.5523465703971</v>
      </c>
      <c r="C12">
        <v>65.162454873646197</v>
      </c>
      <c r="D12">
        <f t="shared" si="0"/>
        <v>7.5277926207822246</v>
      </c>
    </row>
    <row r="13" spans="1:4" x14ac:dyDescent="0.3">
      <c r="A13" s="1">
        <v>10</v>
      </c>
      <c r="B13">
        <v>11.1913357400722</v>
      </c>
      <c r="C13">
        <v>64.620938628158797</v>
      </c>
      <c r="D13">
        <f t="shared" si="0"/>
        <v>7.2319462002632573</v>
      </c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3" spans="1:1" x14ac:dyDescent="0.3">
      <c r="A2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209B9007-1212-423C-9B8D-D5E2FE3AD696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Ba-gamma-TiAl2O3</vt:lpstr>
      <vt:lpstr>Ba-Ti-Al2O3</vt:lpstr>
      <vt:lpstr>Ba-Al2O3</vt:lpstr>
      <vt:lpstr>Ba-TiO2</vt:lpstr>
      <vt:lpstr>gamma-TiAl2O3</vt:lpstr>
      <vt:lpstr>Ti-Al2O3</vt:lpstr>
      <vt:lpstr>Al2O3</vt:lpstr>
      <vt:lpstr>TiO2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2025-10-01T12:57:00Z</dcterms:modified>
</cp:coreProperties>
</file>