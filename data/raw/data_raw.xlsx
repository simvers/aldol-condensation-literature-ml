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ata/"/>
    </mc:Choice>
  </mc:AlternateContent>
  <xr:revisionPtr revIDLastSave="4419" documentId="13_ncr:1_{0568094D-B12F-43F9-AA4A-1DB29E423E15}" xr6:coauthVersionLast="47" xr6:coauthVersionMax="47" xr10:uidLastSave="{BE5D7941-A874-4319-B2E2-0D541A5FE6AF}"/>
  <bookViews>
    <workbookView xWindow="28680" yWindow="-120" windowWidth="29040" windowHeight="15720" xr2:uid="{539E6587-87C4-C24C-90A4-9939B12646C6}"/>
  </bookViews>
  <sheets>
    <sheet name="Ac-Fa-Co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262" i="1" l="1"/>
  <c r="BD262" i="1" s="1"/>
  <c r="AI262" i="1"/>
  <c r="AH262" i="1"/>
  <c r="AG262" i="1"/>
  <c r="AQ116" i="1"/>
  <c r="AR116" i="1" s="1"/>
  <c r="BC81" i="1"/>
  <c r="AQ81" i="1"/>
  <c r="BD81" i="1" s="1"/>
  <c r="AO81" i="1"/>
  <c r="AI81" i="1"/>
  <c r="BC82" i="1"/>
  <c r="AQ82" i="1"/>
  <c r="BD82" i="1" s="1"/>
  <c r="AS82" i="1" s="1"/>
  <c r="AO82" i="1"/>
  <c r="AI82" i="1"/>
  <c r="AY72" i="1"/>
  <c r="AQ72" i="1"/>
  <c r="AR72" i="1" s="1"/>
  <c r="BC72" i="1" s="1"/>
  <c r="AJ72" i="1"/>
  <c r="AI72" i="1"/>
  <c r="AC72" i="1"/>
  <c r="AY71" i="1"/>
  <c r="AQ71" i="1"/>
  <c r="BD71" i="1" s="1"/>
  <c r="AJ71" i="1"/>
  <c r="AI71" i="1"/>
  <c r="AC71" i="1"/>
  <c r="AY70" i="1"/>
  <c r="AQ70" i="1"/>
  <c r="AR70" i="1" s="1"/>
  <c r="AJ70" i="1"/>
  <c r="AI70" i="1"/>
  <c r="AC70" i="1"/>
  <c r="AQ66" i="1"/>
  <c r="AQ68" i="1"/>
  <c r="AR68" i="1" s="1"/>
  <c r="AQ69" i="1"/>
  <c r="AR69" i="1" s="1"/>
  <c r="AQ73" i="1"/>
  <c r="AQ74" i="1"/>
  <c r="AQ67" i="1"/>
  <c r="AR67" i="1" s="1"/>
  <c r="AY73" i="1"/>
  <c r="AJ73" i="1"/>
  <c r="AI73" i="1"/>
  <c r="AC73" i="1"/>
  <c r="AY69" i="1"/>
  <c r="AJ69" i="1"/>
  <c r="AI69" i="1"/>
  <c r="AC69" i="1"/>
  <c r="AY68" i="1"/>
  <c r="AJ68" i="1"/>
  <c r="AI68" i="1"/>
  <c r="AC68" i="1"/>
  <c r="AY67" i="1"/>
  <c r="AJ67" i="1"/>
  <c r="AI67" i="1"/>
  <c r="AC67" i="1"/>
  <c r="Y38" i="1"/>
  <c r="Y39" i="1"/>
  <c r="D331" i="1"/>
  <c r="D332" i="1"/>
  <c r="D333" i="1"/>
  <c r="D334" i="1"/>
  <c r="D335" i="1"/>
  <c r="V154" i="1"/>
  <c r="B64" i="1"/>
  <c r="B63" i="1"/>
  <c r="B60" i="1"/>
  <c r="B59" i="1"/>
  <c r="B57" i="1"/>
  <c r="B58" i="1"/>
  <c r="B46" i="1"/>
  <c r="B45" i="1"/>
  <c r="B44" i="1"/>
  <c r="B43" i="1"/>
  <c r="B36" i="1"/>
  <c r="B37" i="1"/>
  <c r="B38" i="1"/>
  <c r="B39" i="1"/>
  <c r="B40" i="1"/>
  <c r="B41" i="1"/>
  <c r="B35" i="1"/>
  <c r="BC70" i="1" l="1"/>
  <c r="AS81" i="1"/>
  <c r="AR262" i="1"/>
  <c r="BC262" i="1" s="1"/>
  <c r="AS262" i="1" s="1"/>
  <c r="BD72" i="1"/>
  <c r="AS72" i="1" s="1"/>
  <c r="BD70" i="1"/>
  <c r="AR71" i="1"/>
  <c r="BC71" i="1" s="1"/>
  <c r="AS71" i="1" s="1"/>
  <c r="BC67" i="1"/>
  <c r="BD73" i="1"/>
  <c r="BC69" i="1"/>
  <c r="BC68" i="1"/>
  <c r="BD68" i="1"/>
  <c r="BD69" i="1"/>
  <c r="AS69" i="1" s="1"/>
  <c r="AR73" i="1"/>
  <c r="BC73" i="1" s="1"/>
  <c r="BD67" i="1"/>
  <c r="O202" i="1"/>
  <c r="AS68" i="1" l="1"/>
  <c r="AS70" i="1"/>
  <c r="AS73" i="1"/>
  <c r="AS67" i="1"/>
  <c r="BC370" i="1"/>
  <c r="BC371" i="1"/>
  <c r="BC372" i="1"/>
  <c r="BC373" i="1"/>
  <c r="BC374" i="1"/>
  <c r="BC375" i="1"/>
  <c r="BC376" i="1"/>
  <c r="AO376" i="1"/>
  <c r="AO375" i="1"/>
  <c r="AO374" i="1"/>
  <c r="AO373" i="1"/>
  <c r="AO372" i="1"/>
  <c r="AO371" i="1"/>
  <c r="AO370" i="1"/>
  <c r="AQ376" i="1"/>
  <c r="BD376" i="1" s="1"/>
  <c r="AQ375" i="1"/>
  <c r="BD375" i="1" s="1"/>
  <c r="AQ374" i="1"/>
  <c r="BD374" i="1" s="1"/>
  <c r="AQ373" i="1"/>
  <c r="BD373" i="1" s="1"/>
  <c r="AQ372" i="1"/>
  <c r="BD372" i="1" s="1"/>
  <c r="AQ371" i="1"/>
  <c r="BD371" i="1" s="1"/>
  <c r="AQ370" i="1"/>
  <c r="BD370" i="1" s="1"/>
  <c r="K376" i="1"/>
  <c r="K375" i="1"/>
  <c r="K374" i="1"/>
  <c r="K373" i="1"/>
  <c r="K372" i="1"/>
  <c r="K371" i="1"/>
  <c r="AI366" i="1"/>
  <c r="AI367" i="1"/>
  <c r="AI368" i="1"/>
  <c r="AI369" i="1"/>
  <c r="AI365" i="1"/>
  <c r="AS372" i="1" l="1"/>
  <c r="AS376" i="1"/>
  <c r="AS375" i="1"/>
  <c r="AS374" i="1"/>
  <c r="AS373" i="1"/>
  <c r="AS371" i="1"/>
  <c r="AS370" i="1"/>
  <c r="AQ369" i="1"/>
  <c r="BD369" i="1" s="1"/>
  <c r="AQ368" i="1"/>
  <c r="BD368" i="1" s="1"/>
  <c r="AQ367" i="1"/>
  <c r="BD367" i="1" s="1"/>
  <c r="AQ366" i="1"/>
  <c r="BD366" i="1" s="1"/>
  <c r="AQ365" i="1"/>
  <c r="BD365" i="1" s="1"/>
  <c r="D341" i="1"/>
  <c r="D340" i="1"/>
  <c r="D339" i="1"/>
  <c r="D337" i="1"/>
  <c r="D336" i="1"/>
  <c r="D330" i="1"/>
  <c r="D329" i="1"/>
  <c r="AR321" i="1"/>
  <c r="AQ321" i="1" s="1"/>
  <c r="D320" i="1"/>
  <c r="D319" i="1"/>
  <c r="D318" i="1"/>
  <c r="D317" i="1"/>
  <c r="D321" i="1"/>
  <c r="D322" i="1"/>
  <c r="D323" i="1"/>
  <c r="D324" i="1"/>
  <c r="AR367" i="1" l="1"/>
  <c r="BC367" i="1" s="1"/>
  <c r="AS367" i="1" s="1"/>
  <c r="AR365" i="1"/>
  <c r="BC365" i="1" s="1"/>
  <c r="AS365" i="1" s="1"/>
  <c r="AR366" i="1"/>
  <c r="BC366" i="1" s="1"/>
  <c r="AS366" i="1" s="1"/>
  <c r="AR368" i="1"/>
  <c r="BC368" i="1" s="1"/>
  <c r="AS368" i="1" s="1"/>
  <c r="AR369" i="1"/>
  <c r="BC369" i="1" s="1"/>
  <c r="AS369" i="1" s="1"/>
  <c r="BD310" i="1"/>
  <c r="BD311" i="1"/>
  <c r="BD312" i="1"/>
  <c r="BD313" i="1"/>
  <c r="BD314" i="1"/>
  <c r="BD315" i="1"/>
  <c r="BD316" i="1"/>
  <c r="AQ305" i="1"/>
  <c r="K304" i="1"/>
  <c r="K303" i="1"/>
  <c r="K302" i="1"/>
  <c r="K301" i="1"/>
  <c r="K305" i="1"/>
  <c r="K300" i="1"/>
  <c r="K299" i="1"/>
  <c r="K298" i="1"/>
  <c r="BD292" i="1"/>
  <c r="BD293" i="1"/>
  <c r="AR293" i="1"/>
  <c r="BC293" i="1" s="1"/>
  <c r="AR292" i="1"/>
  <c r="BC292" i="1" s="1"/>
  <c r="AQ294" i="1"/>
  <c r="BD294" i="1" s="1"/>
  <c r="AR288" i="1"/>
  <c r="BC288" i="1" s="1"/>
  <c r="AR289" i="1"/>
  <c r="BC289" i="1" s="1"/>
  <c r="AR290" i="1"/>
  <c r="BC290" i="1" s="1"/>
  <c r="AR291" i="1"/>
  <c r="BC291" i="1" s="1"/>
  <c r="BD288" i="1"/>
  <c r="BD289" i="1"/>
  <c r="BD290" i="1"/>
  <c r="BD291" i="1"/>
  <c r="BD285" i="1"/>
  <c r="BD286" i="1"/>
  <c r="BD287" i="1"/>
  <c r="AR285" i="1"/>
  <c r="BC285" i="1" s="1"/>
  <c r="AR286" i="1"/>
  <c r="BC286" i="1" s="1"/>
  <c r="AS286" i="1" s="1"/>
  <c r="AR287" i="1"/>
  <c r="BC287" i="1" s="1"/>
  <c r="BD279" i="1"/>
  <c r="BD280" i="1"/>
  <c r="BD281" i="1"/>
  <c r="BD282" i="1"/>
  <c r="BD283" i="1"/>
  <c r="BD284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0" i="1"/>
  <c r="K281" i="1"/>
  <c r="D268" i="1"/>
  <c r="L266" i="1"/>
  <c r="L267" i="1"/>
  <c r="L265" i="1"/>
  <c r="L264" i="1"/>
  <c r="AR260" i="1"/>
  <c r="BC260" i="1"/>
  <c r="BD260" i="1"/>
  <c r="AI258" i="1"/>
  <c r="AI259" i="1"/>
  <c r="AI260" i="1"/>
  <c r="AS285" i="1" l="1"/>
  <c r="AS293" i="1"/>
  <c r="AS292" i="1"/>
  <c r="AS287" i="1"/>
  <c r="AS260" i="1"/>
  <c r="AS288" i="1"/>
  <c r="AS289" i="1"/>
  <c r="AS290" i="1"/>
  <c r="AS291" i="1"/>
  <c r="BD258" i="1" l="1"/>
  <c r="AR258" i="1"/>
  <c r="BC258" i="1" s="1"/>
  <c r="AI257" i="1"/>
  <c r="AI256" i="1"/>
  <c r="AQ256" i="1"/>
  <c r="BD256" i="1" s="1"/>
  <c r="D255" i="1"/>
  <c r="D254" i="1"/>
  <c r="D253" i="1"/>
  <c r="AR246" i="1"/>
  <c r="AN239" i="1"/>
  <c r="AM239" i="1" s="1"/>
  <c r="AR239" i="1"/>
  <c r="BC239" i="1" s="1"/>
  <c r="BD239" i="1"/>
  <c r="AI239" i="1"/>
  <c r="AQ240" i="1"/>
  <c r="BD240" i="1" s="1"/>
  <c r="AI240" i="1"/>
  <c r="AS258" i="1" l="1"/>
  <c r="AR256" i="1"/>
  <c r="BC256" i="1" s="1"/>
  <c r="AS256" i="1" s="1"/>
  <c r="AS239" i="1"/>
  <c r="AR240" i="1"/>
  <c r="BC240" i="1" s="1"/>
  <c r="AS240" i="1" s="1"/>
  <c r="K199" i="1"/>
  <c r="K198" i="1"/>
  <c r="K197" i="1"/>
  <c r="K196" i="1"/>
  <c r="B65" i="1"/>
  <c r="B61" i="1"/>
  <c r="B97" i="1"/>
  <c r="B90" i="1"/>
  <c r="B89" i="1"/>
  <c r="B88" i="1"/>
  <c r="B87" i="1"/>
  <c r="B86" i="1"/>
  <c r="B85" i="1"/>
  <c r="BC163" i="1" l="1"/>
  <c r="BC164" i="1"/>
  <c r="BC166" i="1"/>
  <c r="AR165" i="1" l="1"/>
  <c r="BC165" i="1" s="1"/>
  <c r="AQ166" i="1"/>
  <c r="BD166" i="1" s="1"/>
  <c r="AS166" i="1" s="1"/>
  <c r="AQ164" i="1"/>
  <c r="BD164" i="1" s="1"/>
  <c r="AS164" i="1" s="1"/>
  <c r="AQ163" i="1"/>
  <c r="BD163" i="1" s="1"/>
  <c r="AS163" i="1" s="1"/>
  <c r="AJ166" i="1"/>
  <c r="AI166" i="1"/>
  <c r="AJ165" i="1"/>
  <c r="AI165" i="1"/>
  <c r="AJ164" i="1"/>
  <c r="AI164" i="1"/>
  <c r="AQ165" i="1" l="1"/>
  <c r="BD165" i="1" s="1"/>
  <c r="AS165" i="1" s="1"/>
  <c r="AQ154" i="1"/>
  <c r="AR154" i="1" l="1"/>
  <c r="BC154" i="1" s="1"/>
  <c r="BD154" i="1"/>
  <c r="R150" i="1"/>
  <c r="V150" i="1" s="1"/>
  <c r="R149" i="1"/>
  <c r="V149" i="1" s="1"/>
  <c r="R148" i="1"/>
  <c r="R147" i="1"/>
  <c r="R146" i="1"/>
  <c r="R145" i="1"/>
  <c r="V114" i="1"/>
  <c r="J114" i="1"/>
  <c r="AS154" i="1" l="1"/>
  <c r="AJ74" i="1"/>
  <c r="AJ75" i="1"/>
  <c r="AJ76" i="1"/>
  <c r="AJ77" i="1"/>
  <c r="AJ78" i="1"/>
  <c r="AJ79" i="1"/>
  <c r="AJ80" i="1"/>
  <c r="AJ66" i="1"/>
  <c r="AI80" i="1"/>
  <c r="AI79" i="1"/>
  <c r="AI78" i="1"/>
  <c r="AI77" i="1"/>
  <c r="AI76" i="1"/>
  <c r="AI75" i="1"/>
  <c r="AI74" i="1"/>
  <c r="AI66" i="1"/>
  <c r="AY74" i="1"/>
  <c r="BD74" i="1" s="1"/>
  <c r="AY75" i="1"/>
  <c r="BD75" i="1" s="1"/>
  <c r="AY76" i="1"/>
  <c r="BD76" i="1" s="1"/>
  <c r="AY77" i="1"/>
  <c r="BD77" i="1" s="1"/>
  <c r="AY78" i="1"/>
  <c r="BD78" i="1" s="1"/>
  <c r="AY79" i="1"/>
  <c r="BD79" i="1" s="1"/>
  <c r="AY80" i="1"/>
  <c r="BD80" i="1" s="1"/>
  <c r="AY66" i="1"/>
  <c r="BD66" i="1" s="1"/>
  <c r="AQ65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162" i="1"/>
  <c r="AC154" i="1"/>
  <c r="AC153" i="1"/>
  <c r="AC152" i="1"/>
  <c r="AC151" i="1"/>
  <c r="AC100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0" i="1"/>
  <c r="AC79" i="1"/>
  <c r="AC78" i="1"/>
  <c r="AC77" i="1"/>
  <c r="AC76" i="1"/>
  <c r="AC75" i="1"/>
  <c r="AC74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1" i="1"/>
  <c r="AC50" i="1"/>
  <c r="AC49" i="1"/>
  <c r="AC47" i="1"/>
  <c r="AC46" i="1"/>
  <c r="AC45" i="1"/>
  <c r="AC44" i="1"/>
  <c r="AC43" i="1"/>
  <c r="AC42" i="1"/>
  <c r="AC39" i="1"/>
  <c r="AC38" i="1"/>
  <c r="AC37" i="1"/>
  <c r="AC41" i="1"/>
  <c r="AC40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BC321" i="1"/>
  <c r="AJ321" i="1"/>
  <c r="AI321" i="1"/>
  <c r="AR65" i="1" l="1"/>
  <c r="BC65" i="1" s="1"/>
  <c r="BD65" i="1"/>
  <c r="AI65" i="1"/>
  <c r="AI290" i="1"/>
  <c r="AI289" i="1"/>
  <c r="AH292" i="1"/>
  <c r="AI292" i="1"/>
  <c r="AI293" i="1"/>
  <c r="AI286" i="1"/>
  <c r="AI287" i="1"/>
  <c r="AI285" i="1"/>
  <c r="AI291" i="1"/>
  <c r="AI288" i="1"/>
  <c r="AI294" i="1"/>
  <c r="AI280" i="1"/>
  <c r="AI281" i="1"/>
  <c r="AI282" i="1"/>
  <c r="AI283" i="1"/>
  <c r="AI284" i="1"/>
  <c r="AI279" i="1"/>
  <c r="BC204" i="1"/>
  <c r="BC205" i="1"/>
  <c r="BC206" i="1"/>
  <c r="AS65" i="1" l="1"/>
  <c r="BD321" i="1"/>
  <c r="AS321" i="1" s="1"/>
  <c r="AI206" i="1"/>
  <c r="AI205" i="1"/>
  <c r="AI204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70" i="1"/>
  <c r="AQ180" i="1"/>
  <c r="BD180" i="1" s="1"/>
  <c r="AI180" i="1"/>
  <c r="AQ181" i="1"/>
  <c r="AR181" i="1" s="1"/>
  <c r="BC181" i="1" s="1"/>
  <c r="AI181" i="1"/>
  <c r="AQ183" i="1"/>
  <c r="AI183" i="1"/>
  <c r="AQ182" i="1"/>
  <c r="BD182" i="1" s="1"/>
  <c r="AI182" i="1"/>
  <c r="AJ98" i="1"/>
  <c r="AI191" i="1"/>
  <c r="AI190" i="1"/>
  <c r="AI189" i="1"/>
  <c r="AI188" i="1"/>
  <c r="AI187" i="1"/>
  <c r="AI186" i="1"/>
  <c r="AI185" i="1"/>
  <c r="AI196" i="1"/>
  <c r="AI193" i="1"/>
  <c r="AI194" i="1"/>
  <c r="AI195" i="1"/>
  <c r="AI197" i="1"/>
  <c r="AI198" i="1"/>
  <c r="AI199" i="1"/>
  <c r="AI192" i="1"/>
  <c r="AI200" i="1"/>
  <c r="AI201" i="1"/>
  <c r="AI202" i="1"/>
  <c r="AI203" i="1"/>
  <c r="AJ201" i="1"/>
  <c r="AJ202" i="1"/>
  <c r="AJ203" i="1"/>
  <c r="AJ200" i="1"/>
  <c r="AI102" i="1"/>
  <c r="AI101" i="1"/>
  <c r="AQ101" i="1"/>
  <c r="AQ102" i="1"/>
  <c r="AI84" i="1"/>
  <c r="AI83" i="1"/>
  <c r="AI104" i="1"/>
  <c r="AI105" i="1"/>
  <c r="AI106" i="1"/>
  <c r="AI107" i="1"/>
  <c r="AI108" i="1"/>
  <c r="AI109" i="1"/>
  <c r="AI110" i="1"/>
  <c r="AI111" i="1"/>
  <c r="AI112" i="1"/>
  <c r="AI103" i="1"/>
  <c r="AR305" i="1"/>
  <c r="BC305" i="1" s="1"/>
  <c r="AR304" i="1"/>
  <c r="BC304" i="1" s="1"/>
  <c r="AR303" i="1"/>
  <c r="BC303" i="1" s="1"/>
  <c r="AR302" i="1"/>
  <c r="BC302" i="1" s="1"/>
  <c r="AR301" i="1"/>
  <c r="BC301" i="1" s="1"/>
  <c r="BD305" i="1"/>
  <c r="BD304" i="1"/>
  <c r="BD303" i="1"/>
  <c r="BD302" i="1"/>
  <c r="BD301" i="1"/>
  <c r="BD183" i="1" l="1"/>
  <c r="AR183" i="1"/>
  <c r="BC183" i="1" s="1"/>
  <c r="AS301" i="1"/>
  <c r="AR180" i="1"/>
  <c r="BC180" i="1" s="1"/>
  <c r="AS180" i="1" s="1"/>
  <c r="AS305" i="1"/>
  <c r="BD181" i="1"/>
  <c r="AS181" i="1" s="1"/>
  <c r="AR182" i="1"/>
  <c r="BC182" i="1" s="1"/>
  <c r="AS182" i="1" s="1"/>
  <c r="AS303" i="1"/>
  <c r="AS302" i="1"/>
  <c r="AS304" i="1"/>
  <c r="AS183" i="1" l="1"/>
  <c r="AI304" i="1"/>
  <c r="AI305" i="1"/>
  <c r="AI303" i="1"/>
  <c r="AI302" i="1"/>
  <c r="AI301" i="1"/>
  <c r="AI300" i="1"/>
  <c r="AI299" i="1"/>
  <c r="AI298" i="1"/>
  <c r="AI297" i="1"/>
  <c r="AI296" i="1"/>
  <c r="AI295" i="1"/>
  <c r="AI142" i="1"/>
  <c r="AI144" i="1"/>
  <c r="AI143" i="1"/>
  <c r="AI49" i="1" l="1"/>
  <c r="AI50" i="1"/>
  <c r="AI51" i="1"/>
  <c r="AI52" i="1"/>
  <c r="AI48" i="1"/>
  <c r="AJ49" i="1"/>
  <c r="AJ47" i="1"/>
  <c r="AJ46" i="1"/>
  <c r="AJ45" i="1"/>
  <c r="AJ44" i="1"/>
  <c r="AJ43" i="1"/>
  <c r="AJ42" i="1"/>
  <c r="AJ371" i="1"/>
  <c r="AJ372" i="1"/>
  <c r="AJ373" i="1"/>
  <c r="AJ374" i="1"/>
  <c r="AJ375" i="1"/>
  <c r="AJ376" i="1"/>
  <c r="AJ370" i="1"/>
  <c r="AI376" i="1"/>
  <c r="AI375" i="1"/>
  <c r="AI374" i="1"/>
  <c r="AI373" i="1"/>
  <c r="AI372" i="1"/>
  <c r="AI371" i="1"/>
  <c r="AI370" i="1"/>
  <c r="AN237" i="1"/>
  <c r="AM237" i="1" s="1"/>
  <c r="AN236" i="1"/>
  <c r="AM236" i="1" s="1"/>
  <c r="AN235" i="1"/>
  <c r="AM235" i="1" s="1"/>
  <c r="AN234" i="1"/>
  <c r="AM234" i="1" s="1"/>
  <c r="AN233" i="1"/>
  <c r="AM233" i="1" s="1"/>
  <c r="AN232" i="1"/>
  <c r="AM232" i="1" s="1"/>
  <c r="AR233" i="1"/>
  <c r="BC233" i="1" s="1"/>
  <c r="AR234" i="1"/>
  <c r="BC234" i="1" s="1"/>
  <c r="AR235" i="1"/>
  <c r="BC235" i="1" s="1"/>
  <c r="AR236" i="1"/>
  <c r="BC236" i="1" s="1"/>
  <c r="AS236" i="1" s="1"/>
  <c r="AR237" i="1"/>
  <c r="BC237" i="1" s="1"/>
  <c r="AS237" i="1" s="1"/>
  <c r="AI232" i="1"/>
  <c r="AI233" i="1"/>
  <c r="AI234" i="1"/>
  <c r="AI235" i="1"/>
  <c r="AI236" i="1"/>
  <c r="AI237" i="1"/>
  <c r="BD232" i="1"/>
  <c r="BD233" i="1"/>
  <c r="BD234" i="1"/>
  <c r="BD235" i="1"/>
  <c r="BD236" i="1"/>
  <c r="BD237" i="1"/>
  <c r="AS234" i="1" l="1"/>
  <c r="AS233" i="1"/>
  <c r="AS235" i="1"/>
  <c r="AH316" i="1"/>
  <c r="AH315" i="1"/>
  <c r="AH314" i="1"/>
  <c r="AH313" i="1"/>
  <c r="AG316" i="1"/>
  <c r="AR316" i="1" s="1"/>
  <c r="BC316" i="1" s="1"/>
  <c r="AS316" i="1" s="1"/>
  <c r="AG315" i="1"/>
  <c r="AR315" i="1" s="1"/>
  <c r="BC315" i="1" s="1"/>
  <c r="AS315" i="1" s="1"/>
  <c r="AG314" i="1"/>
  <c r="AR314" i="1" s="1"/>
  <c r="BC314" i="1" s="1"/>
  <c r="AS314" i="1" s="1"/>
  <c r="AG313" i="1"/>
  <c r="AR313" i="1" s="1"/>
  <c r="BC313" i="1" s="1"/>
  <c r="AS313" i="1" s="1"/>
  <c r="AG312" i="1"/>
  <c r="AR312" i="1" s="1"/>
  <c r="BC312" i="1" s="1"/>
  <c r="AS312" i="1" s="1"/>
  <c r="AG311" i="1"/>
  <c r="AR311" i="1" s="1"/>
  <c r="BC311" i="1" s="1"/>
  <c r="AS311" i="1" s="1"/>
  <c r="AG310" i="1"/>
  <c r="AR310" i="1" s="1"/>
  <c r="BC310" i="1" s="1"/>
  <c r="AS310" i="1" s="1"/>
  <c r="AM315" i="1"/>
  <c r="AI316" i="1"/>
  <c r="AI315" i="1"/>
  <c r="AI314" i="1"/>
  <c r="AI313" i="1"/>
  <c r="AI312" i="1"/>
  <c r="AI311" i="1"/>
  <c r="AI319" i="1"/>
  <c r="AI320" i="1"/>
  <c r="AI322" i="1"/>
  <c r="AI323" i="1"/>
  <c r="AI324" i="1"/>
  <c r="AI318" i="1"/>
  <c r="AI317" i="1"/>
  <c r="AJ60" i="1" l="1"/>
  <c r="AJ59" i="1"/>
  <c r="AJ58" i="1"/>
  <c r="AJ57" i="1"/>
  <c r="AJ56" i="1"/>
  <c r="AJ55" i="1"/>
  <c r="AJ54" i="1"/>
  <c r="AJ53" i="1"/>
  <c r="AJ163" i="1"/>
  <c r="AI163" i="1"/>
  <c r="AI61" i="1"/>
  <c r="AQ364" i="1"/>
  <c r="AI64" i="1"/>
  <c r="AI63" i="1"/>
  <c r="AI62" i="1"/>
  <c r="AI263" i="1" l="1"/>
  <c r="AI261" i="1"/>
  <c r="AH263" i="1"/>
  <c r="AG263" i="1"/>
  <c r="AH261" i="1"/>
  <c r="AG261" i="1"/>
  <c r="AQ263" i="1"/>
  <c r="AQ261" i="1"/>
  <c r="AR259" i="1"/>
  <c r="BC259" i="1" s="1"/>
  <c r="AM259" i="1"/>
  <c r="AR261" i="1" l="1"/>
  <c r="BC261" i="1" s="1"/>
  <c r="AR263" i="1"/>
  <c r="BC263" i="1" s="1"/>
  <c r="AI242" i="1" l="1"/>
  <c r="AI243" i="1"/>
  <c r="AI244" i="1"/>
  <c r="AI245" i="1"/>
  <c r="AG245" i="1"/>
  <c r="AI247" i="1"/>
  <c r="AI248" i="1"/>
  <c r="AI246" i="1"/>
  <c r="AQ257" i="1" l="1"/>
  <c r="BD257" i="1" s="1"/>
  <c r="AR257" i="1" l="1"/>
  <c r="AQ162" i="1"/>
  <c r="BD162" i="1" s="1"/>
  <c r="AJ162" i="1"/>
  <c r="AI162" i="1"/>
  <c r="AQ224" i="1"/>
  <c r="AQ225" i="1"/>
  <c r="AQ223" i="1"/>
  <c r="AI225" i="1"/>
  <c r="AI224" i="1"/>
  <c r="AI223" i="1"/>
  <c r="AR223" i="1" l="1"/>
  <c r="BC223" i="1" s="1"/>
  <c r="BD223" i="1"/>
  <c r="AR224" i="1"/>
  <c r="BC224" i="1" s="1"/>
  <c r="BD224" i="1"/>
  <c r="AR225" i="1"/>
  <c r="BC225" i="1" s="1"/>
  <c r="BD225" i="1"/>
  <c r="AR162" i="1"/>
  <c r="BC162" i="1" s="1"/>
  <c r="AS162" i="1" s="1"/>
  <c r="AI255" i="1"/>
  <c r="AQ254" i="1"/>
  <c r="AR254" i="1" s="1"/>
  <c r="AI254" i="1"/>
  <c r="BB255" i="1"/>
  <c r="BA255" i="1"/>
  <c r="AZ255" i="1"/>
  <c r="AQ255" i="1"/>
  <c r="AR255" i="1" s="1"/>
  <c r="AQ253" i="1"/>
  <c r="BD253" i="1" s="1"/>
  <c r="AI253" i="1"/>
  <c r="AS225" i="1" l="1"/>
  <c r="AS224" i="1"/>
  <c r="AS223" i="1"/>
  <c r="BD254" i="1"/>
  <c r="AR253" i="1"/>
  <c r="BD255" i="1"/>
  <c r="AQ25" i="1"/>
  <c r="AM25" i="1" s="1"/>
  <c r="AQ23" i="1"/>
  <c r="AM23" i="1" s="1"/>
  <c r="BA23" i="1"/>
  <c r="BA24" i="1"/>
  <c r="BA25" i="1"/>
  <c r="BA22" i="1"/>
  <c r="BB23" i="1"/>
  <c r="BB24" i="1"/>
  <c r="BB25" i="1"/>
  <c r="BB22" i="1"/>
  <c r="AR161" i="1"/>
  <c r="AJ161" i="1"/>
  <c r="AR160" i="1"/>
  <c r="AQ160" i="1" s="1"/>
  <c r="AJ160" i="1"/>
  <c r="AR159" i="1"/>
  <c r="AJ159" i="1"/>
  <c r="AR158" i="1"/>
  <c r="AJ158" i="1"/>
  <c r="AR157" i="1"/>
  <c r="AJ157" i="1"/>
  <c r="AQ157" i="1" l="1"/>
  <c r="AQ159" i="1"/>
  <c r="AQ161" i="1"/>
  <c r="AQ158" i="1"/>
  <c r="AR155" i="1" l="1"/>
  <c r="AQ155" i="1" s="1"/>
  <c r="AR156" i="1"/>
  <c r="AQ156" i="1" s="1"/>
  <c r="AJ144" i="1"/>
  <c r="AJ143" i="1"/>
  <c r="AJ142" i="1"/>
  <c r="AR144" i="1" l="1"/>
  <c r="AR143" i="1"/>
  <c r="AR142" i="1"/>
  <c r="AQ63" i="1"/>
  <c r="AR63" i="1" s="1"/>
  <c r="BC63" i="1" s="1"/>
  <c r="AQ64" i="1"/>
  <c r="AR64" i="1" s="1"/>
  <c r="BC64" i="1" s="1"/>
  <c r="AN61" i="1"/>
  <c r="AQ61" i="1" s="1"/>
  <c r="AR61" i="1" s="1"/>
  <c r="BC61" i="1" s="1"/>
  <c r="AN62" i="1"/>
  <c r="AQ62" i="1" s="1"/>
  <c r="AJ64" i="1"/>
  <c r="AJ63" i="1"/>
  <c r="AJ62" i="1"/>
  <c r="AJ61" i="1"/>
  <c r="AQ152" i="1"/>
  <c r="AR152" i="1" s="1"/>
  <c r="BC152" i="1" s="1"/>
  <c r="AQ151" i="1"/>
  <c r="AR151" i="1" s="1"/>
  <c r="BC151" i="1" s="1"/>
  <c r="AJ152" i="1"/>
  <c r="AJ153" i="1"/>
  <c r="AJ151" i="1"/>
  <c r="AR62" i="1" l="1"/>
  <c r="BC62" i="1" s="1"/>
  <c r="AQ143" i="1"/>
  <c r="AQ144" i="1"/>
  <c r="AQ142" i="1"/>
  <c r="BD151" i="1"/>
  <c r="AS151" i="1" s="1"/>
  <c r="BD152" i="1"/>
  <c r="AS152" i="1" s="1"/>
  <c r="AQ149" i="1" l="1"/>
  <c r="AQ148" i="1"/>
  <c r="AQ153" i="1"/>
  <c r="AQ150" i="1"/>
  <c r="BD150" i="1" s="1"/>
  <c r="AR148" i="1" l="1"/>
  <c r="BC148" i="1" s="1"/>
  <c r="BD148" i="1"/>
  <c r="AR149" i="1"/>
  <c r="BC149" i="1" s="1"/>
  <c r="BD149" i="1"/>
  <c r="AR153" i="1"/>
  <c r="BC153" i="1" s="1"/>
  <c r="BD153" i="1"/>
  <c r="AR150" i="1"/>
  <c r="BC150" i="1" s="1"/>
  <c r="AS150" i="1" s="1"/>
  <c r="AS153" i="1" l="1"/>
  <c r="AS149" i="1"/>
  <c r="AS148" i="1"/>
  <c r="AQ146" i="1"/>
  <c r="BD146" i="1" s="1"/>
  <c r="AQ147" i="1"/>
  <c r="BD147" i="1" s="1"/>
  <c r="AQ145" i="1"/>
  <c r="AR145" i="1" s="1"/>
  <c r="BC145" i="1" s="1"/>
  <c r="AP141" i="1"/>
  <c r="AP140" i="1"/>
  <c r="AP139" i="1"/>
  <c r="AP138" i="1"/>
  <c r="AR138" i="1" s="1"/>
  <c r="AJ141" i="1"/>
  <c r="AJ138" i="1"/>
  <c r="AJ139" i="1"/>
  <c r="AJ140" i="1"/>
  <c r="BD145" i="1" l="1"/>
  <c r="AS145" i="1" s="1"/>
  <c r="AR147" i="1"/>
  <c r="BC147" i="1" s="1"/>
  <c r="AS147" i="1" s="1"/>
  <c r="AR146" i="1"/>
  <c r="BC146" i="1" s="1"/>
  <c r="AS146" i="1" s="1"/>
  <c r="AQ138" i="1"/>
  <c r="AM138" i="1" s="1"/>
  <c r="AN138" i="1" s="1"/>
  <c r="AJ133" i="1"/>
  <c r="AJ134" i="1"/>
  <c r="AJ135" i="1"/>
  <c r="AJ136" i="1"/>
  <c r="AJ137" i="1"/>
  <c r="AJ132" i="1"/>
  <c r="AR133" i="1"/>
  <c r="AR134" i="1"/>
  <c r="AR135" i="1"/>
  <c r="AR136" i="1"/>
  <c r="AR137" i="1"/>
  <c r="AR139" i="1"/>
  <c r="AR140" i="1"/>
  <c r="AR141" i="1"/>
  <c r="AQ141" i="1" s="1"/>
  <c r="AR132" i="1"/>
  <c r="AQ132" i="1" s="1"/>
  <c r="AM132" i="1" l="1"/>
  <c r="AN132" i="1" s="1"/>
  <c r="AM141" i="1"/>
  <c r="AN141" i="1" s="1"/>
  <c r="AQ134" i="1"/>
  <c r="AQ140" i="1"/>
  <c r="AQ139" i="1"/>
  <c r="AQ137" i="1"/>
  <c r="AQ136" i="1"/>
  <c r="AQ135" i="1"/>
  <c r="AQ133" i="1"/>
  <c r="AM139" i="1" l="1"/>
  <c r="AN139" i="1" s="1"/>
  <c r="AM133" i="1"/>
  <c r="AN133" i="1" s="1"/>
  <c r="AM140" i="1"/>
  <c r="AN140" i="1" s="1"/>
  <c r="AM136" i="1"/>
  <c r="AN136" i="1" s="1"/>
  <c r="BD137" i="1"/>
  <c r="AM137" i="1"/>
  <c r="AN137" i="1" s="1"/>
  <c r="AM135" i="1"/>
  <c r="AN135" i="1" s="1"/>
  <c r="AM134" i="1"/>
  <c r="AN134" i="1" s="1"/>
  <c r="AQ363" i="1"/>
  <c r="AQ362" i="1"/>
  <c r="AQ361" i="1"/>
  <c r="AQ360" i="1"/>
  <c r="AQ359" i="1"/>
  <c r="AQ358" i="1"/>
  <c r="AQ357" i="1"/>
  <c r="AQ356" i="1"/>
  <c r="AQ355" i="1"/>
  <c r="BD263" i="1" s="1"/>
  <c r="AS263" i="1" s="1"/>
  <c r="AQ354" i="1"/>
  <c r="BD261" i="1" s="1"/>
  <c r="AS261" i="1" s="1"/>
  <c r="AQ353" i="1"/>
  <c r="BD259" i="1" s="1"/>
  <c r="AS259" i="1" s="1"/>
  <c r="AQ352" i="1"/>
  <c r="AQ351" i="1"/>
  <c r="AQ350" i="1"/>
  <c r="AQ349" i="1"/>
  <c r="AQ348" i="1"/>
  <c r="AQ347" i="1"/>
  <c r="AQ346" i="1"/>
  <c r="AQ345" i="1"/>
  <c r="AQ344" i="1"/>
  <c r="AQ343" i="1"/>
  <c r="AQ342" i="1"/>
  <c r="AO342" i="1"/>
  <c r="AO343" i="1"/>
  <c r="AO344" i="1"/>
  <c r="AO345" i="1"/>
  <c r="AO346" i="1"/>
  <c r="AO347" i="1"/>
  <c r="AO348" i="1"/>
  <c r="AO349" i="1"/>
  <c r="AO350" i="1"/>
  <c r="AO351" i="1"/>
  <c r="AO352" i="1"/>
  <c r="AO354" i="1"/>
  <c r="AO355" i="1"/>
  <c r="AO356" i="1"/>
  <c r="AO357" i="1"/>
  <c r="AO358" i="1"/>
  <c r="AO359" i="1"/>
  <c r="AO360" i="1"/>
  <c r="AO361" i="1"/>
  <c r="AO362" i="1"/>
  <c r="AO363" i="1"/>
  <c r="AO353" i="1"/>
  <c r="AR341" i="1" l="1"/>
  <c r="AP341" i="1" s="1"/>
  <c r="AM341" i="1"/>
  <c r="AI310" i="1" l="1"/>
  <c r="AN337" i="1"/>
  <c r="AN336" i="1"/>
  <c r="AN338" i="1"/>
  <c r="AM340" i="1"/>
  <c r="AM339" i="1"/>
  <c r="AR340" i="1"/>
  <c r="AP340" i="1" s="1"/>
  <c r="AR339" i="1"/>
  <c r="AP339" i="1" s="1"/>
  <c r="AR338" i="1"/>
  <c r="AP338" i="1" s="1"/>
  <c r="AR337" i="1"/>
  <c r="AP337" i="1" s="1"/>
  <c r="AR336" i="1"/>
  <c r="AP336" i="1" s="1"/>
  <c r="AM335" i="1"/>
  <c r="AM332" i="1"/>
  <c r="AM333" i="1"/>
  <c r="AM334" i="1"/>
  <c r="AR330" i="1"/>
  <c r="AP330" i="1" s="1"/>
  <c r="AR331" i="1"/>
  <c r="AP331" i="1" s="1"/>
  <c r="AR332" i="1"/>
  <c r="AR333" i="1"/>
  <c r="AR334" i="1"/>
  <c r="AR335" i="1"/>
  <c r="AR329" i="1"/>
  <c r="AP329" i="1" s="1"/>
  <c r="AM330" i="1"/>
  <c r="AM331" i="1"/>
  <c r="AM329" i="1"/>
  <c r="AR318" i="1"/>
  <c r="AQ318" i="1" s="1"/>
  <c r="AR319" i="1"/>
  <c r="BC319" i="1" s="1"/>
  <c r="AR320" i="1"/>
  <c r="AQ320" i="1" s="1"/>
  <c r="BD320" i="1" s="1"/>
  <c r="AR322" i="1"/>
  <c r="AQ322" i="1" s="1"/>
  <c r="BD322" i="1" s="1"/>
  <c r="AR323" i="1"/>
  <c r="AQ323" i="1" s="1"/>
  <c r="BD323" i="1" s="1"/>
  <c r="AR324" i="1"/>
  <c r="AQ324" i="1" s="1"/>
  <c r="AJ320" i="1"/>
  <c r="AJ319" i="1"/>
  <c r="BC320" i="1" l="1"/>
  <c r="BC322" i="1"/>
  <c r="BC323" i="1"/>
  <c r="AQ319" i="1"/>
  <c r="BD319" i="1" s="1"/>
  <c r="AJ318" i="1" l="1"/>
  <c r="AJ322" i="1"/>
  <c r="AJ323" i="1"/>
  <c r="AJ324" i="1"/>
  <c r="AJ317" i="1"/>
  <c r="BC318" i="1"/>
  <c r="BD318" i="1"/>
  <c r="AR325" i="1"/>
  <c r="AJ325" i="1"/>
  <c r="AI325" i="1"/>
  <c r="AJ327" i="1"/>
  <c r="AJ328" i="1"/>
  <c r="AJ326" i="1"/>
  <c r="AR317" i="1"/>
  <c r="BC317" i="1" s="1"/>
  <c r="AN317" i="1"/>
  <c r="AR328" i="1"/>
  <c r="AR327" i="1"/>
  <c r="AQ327" i="1" s="1"/>
  <c r="BD327" i="1" s="1"/>
  <c r="AR326" i="1"/>
  <c r="AQ326" i="1" s="1"/>
  <c r="BD326" i="1" s="1"/>
  <c r="AQ307" i="1"/>
  <c r="BD307" i="1" s="1"/>
  <c r="AQ308" i="1"/>
  <c r="BD308" i="1" s="1"/>
  <c r="AQ309" i="1"/>
  <c r="BD309" i="1" s="1"/>
  <c r="AQ306" i="1"/>
  <c r="BD306" i="1" s="1"/>
  <c r="AJ309" i="1"/>
  <c r="AI309" i="1"/>
  <c r="AH309" i="1"/>
  <c r="AJ308" i="1"/>
  <c r="AI308" i="1"/>
  <c r="AH308" i="1"/>
  <c r="AJ307" i="1"/>
  <c r="AI307" i="1"/>
  <c r="AH307" i="1"/>
  <c r="AI306" i="1"/>
  <c r="AJ306" i="1"/>
  <c r="AQ328" i="1" l="1"/>
  <c r="BD328" i="1" s="1"/>
  <c r="AQ325" i="1"/>
  <c r="AQ317" i="1"/>
  <c r="AR306" i="1"/>
  <c r="BC306" i="1" s="1"/>
  <c r="AR309" i="1"/>
  <c r="BC309" i="1" s="1"/>
  <c r="AS309" i="1" s="1"/>
  <c r="AR308" i="1"/>
  <c r="BC308" i="1" s="1"/>
  <c r="AS308" i="1" s="1"/>
  <c r="AR307" i="1"/>
  <c r="BC307" i="1" s="1"/>
  <c r="BD317" i="1" l="1"/>
  <c r="AM317" i="1"/>
  <c r="AH306" i="1" l="1"/>
  <c r="AQ297" i="1"/>
  <c r="AQ296" i="1"/>
  <c r="AQ295" i="1"/>
  <c r="AQ299" i="1"/>
  <c r="AQ300" i="1"/>
  <c r="AQ298" i="1"/>
  <c r="AR294" i="1"/>
  <c r="AN283" i="1"/>
  <c r="AN282" i="1"/>
  <c r="AN281" i="1"/>
  <c r="AN280" i="1"/>
  <c r="AN279" i="1"/>
  <c r="AR283" i="1"/>
  <c r="AR282" i="1"/>
  <c r="AR281" i="1"/>
  <c r="BC281" i="1" s="1"/>
  <c r="AS281" i="1" s="1"/>
  <c r="AR280" i="1"/>
  <c r="BC280" i="1" s="1"/>
  <c r="AS280" i="1" s="1"/>
  <c r="AR279" i="1"/>
  <c r="BC279" i="1" s="1"/>
  <c r="AS279" i="1" s="1"/>
  <c r="BC253" i="1" l="1"/>
  <c r="BC282" i="1"/>
  <c r="AS282" i="1" s="1"/>
  <c r="BC254" i="1"/>
  <c r="BC283" i="1"/>
  <c r="AS283" i="1" s="1"/>
  <c r="BC257" i="1"/>
  <c r="AS257" i="1" s="1"/>
  <c r="BC294" i="1"/>
  <c r="AS294" i="1" s="1"/>
  <c r="AR299" i="1"/>
  <c r="BC299" i="1" s="1"/>
  <c r="BD299" i="1"/>
  <c r="AR295" i="1"/>
  <c r="BC295" i="1" s="1"/>
  <c r="BD295" i="1"/>
  <c r="AR298" i="1"/>
  <c r="BC298" i="1" s="1"/>
  <c r="BD298" i="1"/>
  <c r="AR296" i="1"/>
  <c r="BC296" i="1" s="1"/>
  <c r="BD296" i="1"/>
  <c r="AR300" i="1"/>
  <c r="BC300" i="1" s="1"/>
  <c r="BD300" i="1"/>
  <c r="AR297" i="1"/>
  <c r="BC297" i="1" s="1"/>
  <c r="BD297" i="1"/>
  <c r="AR284" i="1"/>
  <c r="BC255" i="1" l="1"/>
  <c r="BC284" i="1"/>
  <c r="AS284" i="1" s="1"/>
  <c r="AS297" i="1"/>
  <c r="AS300" i="1"/>
  <c r="AS296" i="1"/>
  <c r="AS298" i="1"/>
  <c r="AS295" i="1"/>
  <c r="AS299" i="1"/>
  <c r="AN284" i="1"/>
  <c r="BD266" i="1" l="1"/>
  <c r="BD267" i="1"/>
  <c r="AQ269" i="1" l="1"/>
  <c r="BD269" i="1" s="1"/>
  <c r="AN267" i="1"/>
  <c r="AN266" i="1"/>
  <c r="AR266" i="1"/>
  <c r="BC266" i="1" s="1"/>
  <c r="AQ265" i="1"/>
  <c r="AQ264" i="1"/>
  <c r="AQ273" i="1"/>
  <c r="AQ272" i="1"/>
  <c r="AQ271" i="1"/>
  <c r="AQ270" i="1"/>
  <c r="BD270" i="1" s="1"/>
  <c r="AQ268" i="1"/>
  <c r="BD268" i="1" s="1"/>
  <c r="AR267" i="1"/>
  <c r="BC267" i="1" s="1"/>
  <c r="AQ278" i="1"/>
  <c r="AQ277" i="1"/>
  <c r="AQ276" i="1"/>
  <c r="AQ275" i="1"/>
  <c r="AQ274" i="1"/>
  <c r="AM278" i="1"/>
  <c r="AM277" i="1"/>
  <c r="AM276" i="1"/>
  <c r="AM275" i="1"/>
  <c r="AM274" i="1"/>
  <c r="AI252" i="1"/>
  <c r="AI251" i="1"/>
  <c r="AI250" i="1"/>
  <c r="AI249" i="1"/>
  <c r="AR274" i="1" l="1"/>
  <c r="BC274" i="1" s="1"/>
  <c r="AR272" i="1"/>
  <c r="BC272" i="1" s="1"/>
  <c r="AR273" i="1"/>
  <c r="BC273" i="1" s="1"/>
  <c r="AN278" i="1"/>
  <c r="AR264" i="1"/>
  <c r="BC264" i="1" s="1"/>
  <c r="BD264" i="1"/>
  <c r="AR265" i="1"/>
  <c r="BC265" i="1" s="1"/>
  <c r="BD265" i="1"/>
  <c r="AR270" i="1"/>
  <c r="BC270" i="1" s="1"/>
  <c r="AR278" i="1"/>
  <c r="BC278" i="1" s="1"/>
  <c r="AN274" i="1"/>
  <c r="AR268" i="1"/>
  <c r="BC268" i="1" s="1"/>
  <c r="AS268" i="1" s="1"/>
  <c r="AN276" i="1"/>
  <c r="AN277" i="1"/>
  <c r="AR269" i="1"/>
  <c r="BC269" i="1" s="1"/>
  <c r="AN275" i="1"/>
  <c r="AR277" i="1"/>
  <c r="BC277" i="1" s="1"/>
  <c r="AR276" i="1"/>
  <c r="BC276" i="1" s="1"/>
  <c r="AR275" i="1"/>
  <c r="BC275" i="1" s="1"/>
  <c r="AR271" i="1"/>
  <c r="BC271" i="1" s="1"/>
  <c r="AQ252" i="1"/>
  <c r="AQ251" i="1"/>
  <c r="AQ250" i="1"/>
  <c r="AQ249" i="1"/>
  <c r="AN246" i="1"/>
  <c r="AR247" i="1"/>
  <c r="AM247" i="1"/>
  <c r="AS270" i="1" l="1"/>
  <c r="AS264" i="1"/>
  <c r="AR249" i="1"/>
  <c r="AR252" i="1"/>
  <c r="BC252" i="1" s="1"/>
  <c r="BD252" i="1"/>
  <c r="AR250" i="1"/>
  <c r="BC250" i="1" s="1"/>
  <c r="BD250" i="1"/>
  <c r="AR251" i="1"/>
  <c r="BC251" i="1" s="1"/>
  <c r="BD251" i="1"/>
  <c r="AQ243" i="1"/>
  <c r="BD325" i="1" s="1"/>
  <c r="AQ242" i="1"/>
  <c r="AR244" i="1"/>
  <c r="AM244" i="1"/>
  <c r="BC326" i="1" l="1"/>
  <c r="AS326" i="1" s="1"/>
  <c r="BD242" i="1"/>
  <c r="BD324" i="1"/>
  <c r="BC249" i="1"/>
  <c r="AR243" i="1"/>
  <c r="AR209" i="1"/>
  <c r="BC209" i="1" s="1"/>
  <c r="AR210" i="1"/>
  <c r="BC210" i="1" s="1"/>
  <c r="AR211" i="1"/>
  <c r="BC211" i="1" s="1"/>
  <c r="AR212" i="1"/>
  <c r="BC212" i="1" s="1"/>
  <c r="AR213" i="1"/>
  <c r="BC213" i="1" s="1"/>
  <c r="AR214" i="1"/>
  <c r="BC214" i="1" s="1"/>
  <c r="AR215" i="1"/>
  <c r="AR216" i="1"/>
  <c r="BC216" i="1" s="1"/>
  <c r="AR217" i="1"/>
  <c r="AR218" i="1"/>
  <c r="BC218" i="1" s="1"/>
  <c r="AR219" i="1"/>
  <c r="BC219" i="1" s="1"/>
  <c r="AR220" i="1"/>
  <c r="BC220" i="1" s="1"/>
  <c r="AR221" i="1"/>
  <c r="BC221" i="1" s="1"/>
  <c r="AR222" i="1"/>
  <c r="BC222" i="1" s="1"/>
  <c r="AR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08" i="1"/>
  <c r="AI231" i="1"/>
  <c r="AM241" i="1"/>
  <c r="AM238" i="1"/>
  <c r="AR241" i="1"/>
  <c r="BC241" i="1" s="1"/>
  <c r="AR238" i="1"/>
  <c r="BC238" i="1" s="1"/>
  <c r="AR232" i="1"/>
  <c r="BC232" i="1" s="1"/>
  <c r="AS232" i="1" s="1"/>
  <c r="AI241" i="1"/>
  <c r="AI238" i="1"/>
  <c r="BC217" i="1" l="1"/>
  <c r="BC247" i="1"/>
  <c r="BC325" i="1"/>
  <c r="AS325" i="1" s="1"/>
  <c r="BC208" i="1"/>
  <c r="AQ208" i="1"/>
  <c r="BD208" i="1" s="1"/>
  <c r="AQ222" i="1"/>
  <c r="BD222" i="1" s="1"/>
  <c r="AQ221" i="1"/>
  <c r="BD221" i="1" s="1"/>
  <c r="AQ220" i="1"/>
  <c r="BD220" i="1" s="1"/>
  <c r="AQ219" i="1"/>
  <c r="AQ218" i="1"/>
  <c r="AQ216" i="1"/>
  <c r="BD216" i="1" s="1"/>
  <c r="AQ217" i="1"/>
  <c r="AQ214" i="1"/>
  <c r="BD214" i="1" s="1"/>
  <c r="AQ213" i="1"/>
  <c r="BD213" i="1" s="1"/>
  <c r="AS318" i="1" s="1"/>
  <c r="AQ212" i="1"/>
  <c r="BD212" i="1" s="1"/>
  <c r="AQ211" i="1"/>
  <c r="BD211" i="1" s="1"/>
  <c r="AS253" i="1" s="1"/>
  <c r="AQ210" i="1"/>
  <c r="BD210" i="1" s="1"/>
  <c r="AQ215" i="1"/>
  <c r="BD215" i="1" s="1"/>
  <c r="BC215" i="1"/>
  <c r="AS320" i="1" s="1"/>
  <c r="AQ209" i="1"/>
  <c r="BD209" i="1" s="1"/>
  <c r="AM248" i="1"/>
  <c r="AR248" i="1"/>
  <c r="BC248" i="1" s="1"/>
  <c r="AM245" i="1"/>
  <c r="AR245" i="1"/>
  <c r="AR242" i="1"/>
  <c r="BD231" i="1"/>
  <c r="AR231" i="1"/>
  <c r="BC231" i="1" s="1"/>
  <c r="AM231" i="1"/>
  <c r="AR228" i="1"/>
  <c r="BC228" i="1" s="1"/>
  <c r="AR227" i="1"/>
  <c r="BC227" i="1" s="1"/>
  <c r="AR226" i="1"/>
  <c r="BC226" i="1" s="1"/>
  <c r="BC230" i="1"/>
  <c r="AQ230" i="1"/>
  <c r="BD230" i="1" s="1"/>
  <c r="AO230" i="1"/>
  <c r="BC229" i="1"/>
  <c r="AQ229" i="1"/>
  <c r="BD229" i="1" s="1"/>
  <c r="AO229" i="1"/>
  <c r="AP204" i="1"/>
  <c r="AQ204" i="1"/>
  <c r="BD204" i="1" s="1"/>
  <c r="AS204" i="1" s="1"/>
  <c r="AQ206" i="1"/>
  <c r="BD206" i="1" s="1"/>
  <c r="AS206" i="1" s="1"/>
  <c r="AO207" i="1"/>
  <c r="AQ207" i="1"/>
  <c r="AP205" i="1"/>
  <c r="AQ205" i="1"/>
  <c r="BD205" i="1" s="1"/>
  <c r="AS205" i="1" s="1"/>
  <c r="AQ40" i="1"/>
  <c r="AR40" i="1" s="1"/>
  <c r="BC40" i="1" s="1"/>
  <c r="BD40" i="1" l="1"/>
  <c r="AS40" i="1" s="1"/>
  <c r="BD274" i="1"/>
  <c r="AS274" i="1" s="1"/>
  <c r="BC242" i="1"/>
  <c r="BC324" i="1"/>
  <c r="BD218" i="1"/>
  <c r="BD248" i="1"/>
  <c r="AS248" i="1" s="1"/>
  <c r="BC327" i="1"/>
  <c r="AS327" i="1" s="1"/>
  <c r="BD219" i="1"/>
  <c r="AS219" i="1" s="1"/>
  <c r="BD249" i="1"/>
  <c r="BC328" i="1"/>
  <c r="AS328" i="1" s="1"/>
  <c r="BD217" i="1"/>
  <c r="AS217" i="1" s="1"/>
  <c r="BD247" i="1"/>
  <c r="AS247" i="1" s="1"/>
  <c r="AS322" i="1"/>
  <c r="AS319" i="1"/>
  <c r="AS231" i="1"/>
  <c r="AS230" i="1"/>
  <c r="AS229" i="1"/>
  <c r="AQ228" i="1"/>
  <c r="BD228" i="1" s="1"/>
  <c r="AN230" i="1"/>
  <c r="AQ227" i="1"/>
  <c r="BD227" i="1" s="1"/>
  <c r="AN229" i="1"/>
  <c r="AQ226" i="1"/>
  <c r="BD226" i="1" s="1"/>
  <c r="AQ203" i="1"/>
  <c r="AR203" i="1" s="1"/>
  <c r="BC203" i="1" s="1"/>
  <c r="AQ202" i="1"/>
  <c r="AQ201" i="1"/>
  <c r="AQ200" i="1"/>
  <c r="AR200" i="1" s="1"/>
  <c r="BC200" i="1" s="1"/>
  <c r="AQ198" i="1"/>
  <c r="AR198" i="1" s="1"/>
  <c r="BC198" i="1" s="1"/>
  <c r="AQ197" i="1"/>
  <c r="AR197" i="1" s="1"/>
  <c r="BC197" i="1" s="1"/>
  <c r="AQ196" i="1"/>
  <c r="AR196" i="1" s="1"/>
  <c r="BC196" i="1" s="1"/>
  <c r="AQ195" i="1"/>
  <c r="BD195" i="1" s="1"/>
  <c r="AQ194" i="1"/>
  <c r="BD194" i="1" s="1"/>
  <c r="AQ193" i="1"/>
  <c r="AR193" i="1" s="1"/>
  <c r="BC193" i="1" s="1"/>
  <c r="AQ192" i="1"/>
  <c r="AR192" i="1" s="1"/>
  <c r="BC192" i="1" s="1"/>
  <c r="AQ199" i="1"/>
  <c r="BD199" i="1" s="1"/>
  <c r="AQ190" i="1"/>
  <c r="AR190" i="1" s="1"/>
  <c r="BC190" i="1" s="1"/>
  <c r="AQ189" i="1"/>
  <c r="BD189" i="1" s="1"/>
  <c r="AQ188" i="1"/>
  <c r="AR188" i="1" s="1"/>
  <c r="BC188" i="1" s="1"/>
  <c r="AQ187" i="1"/>
  <c r="AR187" i="1" s="1"/>
  <c r="BC187" i="1" s="1"/>
  <c r="AQ186" i="1"/>
  <c r="AR186" i="1" s="1"/>
  <c r="BC186" i="1" s="1"/>
  <c r="AQ185" i="1"/>
  <c r="BD185" i="1" s="1"/>
  <c r="AQ191" i="1"/>
  <c r="AR191" i="1" s="1"/>
  <c r="BC191" i="1" s="1"/>
  <c r="AQ170" i="1"/>
  <c r="AR170" i="1" s="1"/>
  <c r="AR202" i="1" l="1"/>
  <c r="BD246" i="1"/>
  <c r="AS323" i="1"/>
  <c r="AS218" i="1"/>
  <c r="AS324" i="1"/>
  <c r="AS242" i="1"/>
  <c r="AR201" i="1"/>
  <c r="BD245" i="1"/>
  <c r="AR194" i="1"/>
  <c r="BC194" i="1" s="1"/>
  <c r="BD202" i="1"/>
  <c r="BD203" i="1"/>
  <c r="BD201" i="1"/>
  <c r="BD200" i="1"/>
  <c r="BD196" i="1"/>
  <c r="BD197" i="1"/>
  <c r="BD198" i="1"/>
  <c r="AR195" i="1"/>
  <c r="BC195" i="1" s="1"/>
  <c r="BD193" i="1"/>
  <c r="BD190" i="1"/>
  <c r="BD188" i="1"/>
  <c r="BD187" i="1"/>
  <c r="BD192" i="1"/>
  <c r="AR199" i="1"/>
  <c r="BD186" i="1"/>
  <c r="BD191" i="1"/>
  <c r="AR185" i="1"/>
  <c r="AR189" i="1"/>
  <c r="BC189" i="1" s="1"/>
  <c r="AQ178" i="1"/>
  <c r="AR178" i="1" s="1"/>
  <c r="BC178" i="1" s="1"/>
  <c r="AI178" i="1"/>
  <c r="AQ177" i="1"/>
  <c r="AR177" i="1" s="1"/>
  <c r="BC177" i="1" s="1"/>
  <c r="AI177" i="1"/>
  <c r="AQ176" i="1"/>
  <c r="AI176" i="1"/>
  <c r="AQ175" i="1"/>
  <c r="AI175" i="1"/>
  <c r="AQ174" i="1"/>
  <c r="AI174" i="1"/>
  <c r="AQ173" i="1"/>
  <c r="AI173" i="1"/>
  <c r="AQ172" i="1"/>
  <c r="AI172" i="1"/>
  <c r="AQ184" i="1"/>
  <c r="BD184" i="1" s="1"/>
  <c r="AI184" i="1"/>
  <c r="AQ179" i="1"/>
  <c r="BD179" i="1" s="1"/>
  <c r="AI179" i="1"/>
  <c r="AI169" i="1"/>
  <c r="AI168" i="1"/>
  <c r="AI167" i="1"/>
  <c r="AI171" i="1"/>
  <c r="AI170" i="1"/>
  <c r="BD170" i="1"/>
  <c r="AQ171" i="1"/>
  <c r="AS198" i="1" l="1"/>
  <c r="AS220" i="1"/>
  <c r="AS211" i="1"/>
  <c r="BD174" i="1"/>
  <c r="BD160" i="1"/>
  <c r="AS197" i="1"/>
  <c r="AS213" i="1"/>
  <c r="AR175" i="1"/>
  <c r="BD161" i="1"/>
  <c r="AS196" i="1"/>
  <c r="AS212" i="1"/>
  <c r="BD171" i="1"/>
  <c r="BD157" i="1"/>
  <c r="AS200" i="1"/>
  <c r="AS222" i="1"/>
  <c r="BD176" i="1"/>
  <c r="AS210" i="1"/>
  <c r="BC201" i="1"/>
  <c r="AS226" i="1" s="1"/>
  <c r="BC245" i="1"/>
  <c r="AS245" i="1" s="1"/>
  <c r="BC185" i="1"/>
  <c r="AS191" i="1"/>
  <c r="AS192" i="1"/>
  <c r="AS208" i="1"/>
  <c r="AS228" i="1"/>
  <c r="BD172" i="1"/>
  <c r="BD158" i="1"/>
  <c r="AR173" i="1"/>
  <c r="BD159" i="1"/>
  <c r="AS193" i="1"/>
  <c r="AS209" i="1"/>
  <c r="BC202" i="1"/>
  <c r="AS227" i="1" s="1"/>
  <c r="BC246" i="1"/>
  <c r="AS246" i="1" s="1"/>
  <c r="BC199" i="1"/>
  <c r="BD173" i="1"/>
  <c r="BD177" i="1"/>
  <c r="BD178" i="1"/>
  <c r="BD175" i="1"/>
  <c r="AR174" i="1"/>
  <c r="AR172" i="1"/>
  <c r="AR176" i="1"/>
  <c r="AR171" i="1"/>
  <c r="AR179" i="1"/>
  <c r="BC179" i="1" s="1"/>
  <c r="AR184" i="1"/>
  <c r="BC173" i="1" l="1"/>
  <c r="AS187" i="1" s="1"/>
  <c r="BC159" i="1"/>
  <c r="AS159" i="1" s="1"/>
  <c r="BC184" i="1"/>
  <c r="BC170" i="1"/>
  <c r="AS170" i="1" s="1"/>
  <c r="BC171" i="1"/>
  <c r="BC157" i="1"/>
  <c r="AS157" i="1" s="1"/>
  <c r="BC176" i="1"/>
  <c r="BC172" i="1"/>
  <c r="BC158" i="1"/>
  <c r="AS158" i="1" s="1"/>
  <c r="BC175" i="1"/>
  <c r="AS189" i="1" s="1"/>
  <c r="BC161" i="1"/>
  <c r="AS161" i="1" s="1"/>
  <c r="BC174" i="1"/>
  <c r="BC160" i="1"/>
  <c r="AS160" i="1" s="1"/>
  <c r="AS185" i="1"/>
  <c r="AS199" i="1"/>
  <c r="AS221" i="1"/>
  <c r="AS195" i="1"/>
  <c r="AS201" i="1"/>
  <c r="AS202" i="1"/>
  <c r="AQ169" i="1"/>
  <c r="AQ168" i="1"/>
  <c r="AQ167" i="1"/>
  <c r="AR167" i="1" s="1"/>
  <c r="BC167" i="1" s="1"/>
  <c r="AQ126" i="1"/>
  <c r="AM130" i="1"/>
  <c r="AM129" i="1"/>
  <c r="AM128" i="1"/>
  <c r="AM127" i="1"/>
  <c r="AR130" i="1"/>
  <c r="AR129" i="1"/>
  <c r="AR128" i="1"/>
  <c r="AR127" i="1"/>
  <c r="AQ131" i="1"/>
  <c r="AR131" i="1" s="1"/>
  <c r="AQ124" i="1"/>
  <c r="AR124" i="1" s="1"/>
  <c r="AQ125" i="1"/>
  <c r="AS175" i="1" l="1"/>
  <c r="AS173" i="1"/>
  <c r="AS174" i="1"/>
  <c r="AS188" i="1"/>
  <c r="AS172" i="1"/>
  <c r="AS186" i="1"/>
  <c r="AR126" i="1"/>
  <c r="BC144" i="1" s="1"/>
  <c r="BD144" i="1"/>
  <c r="AS176" i="1"/>
  <c r="AS190" i="1"/>
  <c r="BD168" i="1"/>
  <c r="BD243" i="1"/>
  <c r="AR169" i="1"/>
  <c r="BD244" i="1"/>
  <c r="AS171" i="1"/>
  <c r="AS184" i="1"/>
  <c r="AS194" i="1"/>
  <c r="BD169" i="1"/>
  <c r="BD167" i="1"/>
  <c r="AR168" i="1"/>
  <c r="AR125" i="1"/>
  <c r="AQ119" i="1"/>
  <c r="AQ115" i="1"/>
  <c r="AQ118" i="1"/>
  <c r="AR117" i="1"/>
  <c r="BC137" i="1" s="1"/>
  <c r="AQ114" i="1"/>
  <c r="AR114" i="1" s="1"/>
  <c r="AQ113" i="1"/>
  <c r="AR113" i="1" s="1"/>
  <c r="AQ120" i="1"/>
  <c r="AS144" i="1" l="1"/>
  <c r="AR119" i="1"/>
  <c r="BC139" i="1" s="1"/>
  <c r="BD139" i="1"/>
  <c r="BC168" i="1"/>
  <c r="BC243" i="1"/>
  <c r="AS243" i="1" s="1"/>
  <c r="AS167" i="1"/>
  <c r="AS177" i="1"/>
  <c r="BC169" i="1"/>
  <c r="AS179" i="1" s="1"/>
  <c r="BC244" i="1"/>
  <c r="AS244" i="1" s="1"/>
  <c r="AR120" i="1"/>
  <c r="BC140" i="1" s="1"/>
  <c r="BD140" i="1"/>
  <c r="AR118" i="1"/>
  <c r="BC138" i="1" s="1"/>
  <c r="BD138" i="1"/>
  <c r="AR115" i="1"/>
  <c r="BC136" i="1" s="1"/>
  <c r="BD136" i="1"/>
  <c r="AQ123" i="1"/>
  <c r="AQ122" i="1"/>
  <c r="AQ121" i="1"/>
  <c r="AS105" i="1"/>
  <c r="AS106" i="1"/>
  <c r="AS107" i="1"/>
  <c r="AS108" i="1"/>
  <c r="AQ53" i="1"/>
  <c r="AQ54" i="1"/>
  <c r="AQ55" i="1"/>
  <c r="AR55" i="1" s="1"/>
  <c r="BC55" i="1" s="1"/>
  <c r="AQ56" i="1"/>
  <c r="AQ60" i="1"/>
  <c r="AR60" i="1" s="1"/>
  <c r="BC60" i="1" s="1"/>
  <c r="AQ59" i="1"/>
  <c r="AR59" i="1" s="1"/>
  <c r="BC59" i="1" s="1"/>
  <c r="AQ58" i="1"/>
  <c r="AR58" i="1" s="1"/>
  <c r="BC58" i="1" s="1"/>
  <c r="AQ57" i="1"/>
  <c r="AR57" i="1" s="1"/>
  <c r="BC57" i="1" s="1"/>
  <c r="AR54" i="1" l="1"/>
  <c r="BC54" i="1" s="1"/>
  <c r="AR53" i="1"/>
  <c r="BC53" i="1" s="1"/>
  <c r="AS138" i="1"/>
  <c r="AS140" i="1"/>
  <c r="AS139" i="1"/>
  <c r="AS136" i="1"/>
  <c r="AR121" i="1"/>
  <c r="BC141" i="1" s="1"/>
  <c r="BD141" i="1"/>
  <c r="AR123" i="1"/>
  <c r="BC143" i="1" s="1"/>
  <c r="BD143" i="1"/>
  <c r="AS169" i="1"/>
  <c r="AR122" i="1"/>
  <c r="BC142" i="1" s="1"/>
  <c r="BD142" i="1"/>
  <c r="AS168" i="1"/>
  <c r="AS178" i="1"/>
  <c r="BD54" i="1"/>
  <c r="AR56" i="1"/>
  <c r="BC56" i="1" s="1"/>
  <c r="BD53" i="1"/>
  <c r="AI60" i="1"/>
  <c r="AI59" i="1"/>
  <c r="AI58" i="1"/>
  <c r="AI57" i="1"/>
  <c r="AI56" i="1"/>
  <c r="AI55" i="1"/>
  <c r="AI54" i="1"/>
  <c r="AI53" i="1"/>
  <c r="AS142" i="1" l="1"/>
  <c r="AS143" i="1"/>
  <c r="AS141" i="1"/>
  <c r="BB21" i="1"/>
  <c r="BA21" i="1"/>
  <c r="BC21" i="1" s="1"/>
  <c r="BB18" i="1"/>
  <c r="BA18" i="1"/>
  <c r="BC18" i="1" s="1"/>
  <c r="AQ18" i="1"/>
  <c r="AQ21" i="1"/>
  <c r="AQ20" i="1"/>
  <c r="AQ19" i="1"/>
  <c r="AQ17" i="1"/>
  <c r="BB19" i="1"/>
  <c r="BA19" i="1"/>
  <c r="BC19" i="1" s="1"/>
  <c r="BB20" i="1"/>
  <c r="BA20" i="1"/>
  <c r="BC20" i="1" s="1"/>
  <c r="BB17" i="1"/>
  <c r="BA17" i="1"/>
  <c r="BC17" i="1" s="1"/>
  <c r="BD18" i="1" l="1"/>
  <c r="BD20" i="1"/>
  <c r="BD21" i="1"/>
  <c r="BD17" i="1"/>
  <c r="AS17" i="1" s="1"/>
  <c r="BD19" i="1"/>
  <c r="AS269" i="1" s="1"/>
  <c r="BB13" i="1"/>
  <c r="BB14" i="1"/>
  <c r="BB15" i="1"/>
  <c r="BB16" i="1"/>
  <c r="BA13" i="1"/>
  <c r="BA14" i="1"/>
  <c r="BA15" i="1"/>
  <c r="BA16" i="1"/>
  <c r="AY16" i="1"/>
  <c r="AY15" i="1"/>
  <c r="AY14" i="1"/>
  <c r="AY13" i="1"/>
  <c r="AY12" i="1"/>
  <c r="AG16" i="1"/>
  <c r="AQ16" i="1" s="1"/>
  <c r="BA12" i="1"/>
  <c r="BB12" i="1"/>
  <c r="AG15" i="1"/>
  <c r="AQ15" i="1" s="1"/>
  <c r="AG14" i="1"/>
  <c r="AQ14" i="1" s="1"/>
  <c r="AG13" i="1"/>
  <c r="AQ13" i="1" s="1"/>
  <c r="AG12" i="1"/>
  <c r="AQ12" i="1" s="1"/>
  <c r="AG7" i="1"/>
  <c r="AQ7" i="1" s="1"/>
  <c r="BD62" i="1" s="1"/>
  <c r="AS62" i="1" s="1"/>
  <c r="AG4" i="1"/>
  <c r="AQ4" i="1" s="1"/>
  <c r="BD59" i="1" s="1"/>
  <c r="AS59" i="1" s="1"/>
  <c r="BA7" i="1"/>
  <c r="BC7" i="1" s="1"/>
  <c r="BB7" i="1"/>
  <c r="BB4" i="1"/>
  <c r="BA4" i="1"/>
  <c r="BC4" i="1" s="1"/>
  <c r="BB11" i="1"/>
  <c r="BA11" i="1"/>
  <c r="BC11" i="1" s="1"/>
  <c r="BB10" i="1"/>
  <c r="BA10" i="1"/>
  <c r="BC10" i="1" s="1"/>
  <c r="BB9" i="1"/>
  <c r="BA9" i="1"/>
  <c r="BC9" i="1" s="1"/>
  <c r="BB8" i="1"/>
  <c r="BA8" i="1"/>
  <c r="BC8" i="1" s="1"/>
  <c r="AG11" i="1"/>
  <c r="AQ11" i="1" s="1"/>
  <c r="AG10" i="1"/>
  <c r="AQ10" i="1" s="1"/>
  <c r="AG9" i="1"/>
  <c r="AQ9" i="1" s="1"/>
  <c r="BD64" i="1" s="1"/>
  <c r="AS64" i="1" s="1"/>
  <c r="AG8" i="1"/>
  <c r="AQ8" i="1" s="1"/>
  <c r="BD63" i="1" s="1"/>
  <c r="AS63" i="1" s="1"/>
  <c r="BB6" i="1"/>
  <c r="BA6" i="1"/>
  <c r="BC6" i="1" s="1"/>
  <c r="AG6" i="1"/>
  <c r="AQ6" i="1" s="1"/>
  <c r="BD61" i="1" s="1"/>
  <c r="BB5" i="1"/>
  <c r="BA5" i="1"/>
  <c r="BC5" i="1" s="1"/>
  <c r="AG5" i="1"/>
  <c r="AQ5" i="1" s="1"/>
  <c r="BD60" i="1" s="1"/>
  <c r="AS60" i="1" s="1"/>
  <c r="BB3" i="1"/>
  <c r="BA3" i="1"/>
  <c r="BC3" i="1" s="1"/>
  <c r="BA2" i="1"/>
  <c r="BC2" i="1" s="1"/>
  <c r="BB2" i="1"/>
  <c r="AQ3" i="1"/>
  <c r="BD58" i="1" s="1"/>
  <c r="AS58" i="1" s="1"/>
  <c r="AQ2" i="1"/>
  <c r="BD57" i="1" s="1"/>
  <c r="AS57" i="1" s="1"/>
  <c r="BA26" i="1"/>
  <c r="AR26" i="1" l="1"/>
  <c r="AS307" i="1"/>
  <c r="AS267" i="1"/>
  <c r="AS306" i="1"/>
  <c r="AS266" i="1"/>
  <c r="BC12" i="1"/>
  <c r="BD7" i="1"/>
  <c r="AS7" i="1" s="1"/>
  <c r="BD12" i="1"/>
  <c r="BC16" i="1"/>
  <c r="BC15" i="1"/>
  <c r="BC14" i="1"/>
  <c r="AS251" i="1" s="1"/>
  <c r="BC13" i="1"/>
  <c r="BD16" i="1"/>
  <c r="BD14" i="1"/>
  <c r="BD15" i="1"/>
  <c r="BD13" i="1"/>
  <c r="BD11" i="1"/>
  <c r="AS11" i="1" s="1"/>
  <c r="BD8" i="1"/>
  <c r="AS8" i="1" s="1"/>
  <c r="BD9" i="1"/>
  <c r="AS9" i="1" s="1"/>
  <c r="BD4" i="1"/>
  <c r="AS4" i="1" s="1"/>
  <c r="BD10" i="1"/>
  <c r="AS10" i="1" s="1"/>
  <c r="BD5" i="1"/>
  <c r="AS5" i="1" s="1"/>
  <c r="BD6" i="1"/>
  <c r="AS6" i="1" s="1"/>
  <c r="AO100" i="1"/>
  <c r="AQ100" i="1"/>
  <c r="AS12" i="1" l="1"/>
  <c r="AS250" i="1"/>
  <c r="AS252" i="1"/>
  <c r="AS265" i="1"/>
  <c r="AS249" i="1"/>
  <c r="AS13" i="1"/>
  <c r="AS14" i="1"/>
  <c r="AS15" i="1"/>
  <c r="AS16" i="1"/>
  <c r="BD275" i="1"/>
  <c r="AS275" i="1" s="1"/>
  <c r="AS19" i="1" l="1"/>
  <c r="BD276" i="1"/>
  <c r="AS276" i="1" s="1"/>
  <c r="AS18" i="1"/>
  <c r="AO98" i="1" l="1"/>
  <c r="AQ99" i="1"/>
  <c r="AQ98" i="1"/>
  <c r="BD99" i="1" l="1"/>
  <c r="BD98" i="1" l="1"/>
  <c r="BC102" i="1" l="1"/>
  <c r="BC101" i="1"/>
  <c r="BD102" i="1"/>
  <c r="BD101" i="1"/>
  <c r="AS53" i="1" l="1"/>
  <c r="AS54" i="1"/>
  <c r="AS101" i="1"/>
  <c r="AS102" i="1"/>
  <c r="AR105" i="1"/>
  <c r="AQ105" i="1" s="1"/>
  <c r="AR106" i="1"/>
  <c r="AP106" i="1" s="1"/>
  <c r="AR107" i="1"/>
  <c r="AQ107" i="1" s="1"/>
  <c r="AR108" i="1"/>
  <c r="AP108" i="1" s="1"/>
  <c r="AP107" i="1" l="1"/>
  <c r="AQ108" i="1"/>
  <c r="AQ106" i="1"/>
  <c r="AP105" i="1"/>
  <c r="BC97" i="1"/>
  <c r="BC86" i="1"/>
  <c r="BC87" i="1"/>
  <c r="BC88" i="1"/>
  <c r="BC89" i="1"/>
  <c r="BC90" i="1"/>
  <c r="BC91" i="1"/>
  <c r="BC92" i="1"/>
  <c r="BC93" i="1"/>
  <c r="BC94" i="1"/>
  <c r="BC95" i="1"/>
  <c r="BC96" i="1"/>
  <c r="BC85" i="1"/>
  <c r="AQ91" i="1"/>
  <c r="AQ92" i="1"/>
  <c r="AQ93" i="1"/>
  <c r="AQ94" i="1"/>
  <c r="AQ95" i="1"/>
  <c r="AQ96" i="1"/>
  <c r="AQ86" i="1"/>
  <c r="AQ87" i="1"/>
  <c r="BD87" i="1" s="1"/>
  <c r="AQ88" i="1"/>
  <c r="BD88" i="1" s="1"/>
  <c r="AQ89" i="1"/>
  <c r="AQ90" i="1"/>
  <c r="AQ85" i="1"/>
  <c r="AO86" i="1"/>
  <c r="AO87" i="1"/>
  <c r="AO88" i="1"/>
  <c r="AO89" i="1"/>
  <c r="AO90" i="1"/>
  <c r="AO85" i="1"/>
  <c r="BC84" i="1"/>
  <c r="BC83" i="1"/>
  <c r="AQ84" i="1"/>
  <c r="AQ83" i="1"/>
  <c r="AO84" i="1"/>
  <c r="AO83" i="1"/>
  <c r="BD85" i="1" l="1"/>
  <c r="AS85" i="1" s="1"/>
  <c r="BD2" i="1"/>
  <c r="AS2" i="1" s="1"/>
  <c r="BD86" i="1"/>
  <c r="BD55" i="1"/>
  <c r="AS55" i="1" s="1"/>
  <c r="BD96" i="1"/>
  <c r="BD238" i="1"/>
  <c r="BD93" i="1"/>
  <c r="AS93" i="1" s="1"/>
  <c r="BD83" i="1"/>
  <c r="AS20" i="1" s="1"/>
  <c r="BD277" i="1"/>
  <c r="AS277" i="1" s="1"/>
  <c r="BD56" i="1"/>
  <c r="BD84" i="1"/>
  <c r="AS21" i="1" s="1"/>
  <c r="BD278" i="1"/>
  <c r="AS278" i="1" s="1"/>
  <c r="BD91" i="1"/>
  <c r="BD3" i="1"/>
  <c r="AS3" i="1" s="1"/>
  <c r="AS86" i="1"/>
  <c r="AS87" i="1"/>
  <c r="AS88" i="1"/>
  <c r="AR80" i="1"/>
  <c r="BC80" i="1" s="1"/>
  <c r="AS80" i="1" s="1"/>
  <c r="AR79" i="1"/>
  <c r="BC79" i="1" s="1"/>
  <c r="AS79" i="1" s="1"/>
  <c r="AR78" i="1"/>
  <c r="BC78" i="1" s="1"/>
  <c r="AS78" i="1" s="1"/>
  <c r="AR77" i="1"/>
  <c r="BC77" i="1" s="1"/>
  <c r="AS77" i="1" s="1"/>
  <c r="AR76" i="1"/>
  <c r="BC76" i="1" s="1"/>
  <c r="AS76" i="1" s="1"/>
  <c r="AR75" i="1"/>
  <c r="BC75" i="1" s="1"/>
  <c r="AS75" i="1" s="1"/>
  <c r="AR74" i="1"/>
  <c r="BC74" i="1" s="1"/>
  <c r="AS74" i="1" s="1"/>
  <c r="AR66" i="1"/>
  <c r="BC66" i="1" s="1"/>
  <c r="AS66" i="1" s="1"/>
  <c r="BD47" i="1"/>
  <c r="AR47" i="1"/>
  <c r="AI47" i="1"/>
  <c r="BD46" i="1"/>
  <c r="AR46" i="1"/>
  <c r="BC46" i="1" s="1"/>
  <c r="AS215" i="1" s="1"/>
  <c r="AI46" i="1"/>
  <c r="BD45" i="1"/>
  <c r="AR45" i="1"/>
  <c r="BC45" i="1" s="1"/>
  <c r="AI45" i="1"/>
  <c r="AR44" i="1"/>
  <c r="BC44" i="1" s="1"/>
  <c r="AI44" i="1"/>
  <c r="BD43" i="1"/>
  <c r="AR43" i="1"/>
  <c r="BC43" i="1" s="1"/>
  <c r="AS61" i="1" s="1"/>
  <c r="AI43" i="1"/>
  <c r="BD42" i="1"/>
  <c r="AR42" i="1"/>
  <c r="AI42" i="1"/>
  <c r="AQ33" i="1"/>
  <c r="BD33" i="1" s="1"/>
  <c r="BC34" i="1"/>
  <c r="AQ34" i="1"/>
  <c r="AP34" i="1"/>
  <c r="AI34" i="1"/>
  <c r="BC33" i="1"/>
  <c r="AP33" i="1"/>
  <c r="AI33" i="1"/>
  <c r="BC32" i="1"/>
  <c r="AQ32" i="1"/>
  <c r="BD32" i="1" s="1"/>
  <c r="AP32" i="1"/>
  <c r="AI32" i="1"/>
  <c r="BC31" i="1"/>
  <c r="AQ31" i="1"/>
  <c r="BD31" i="1" s="1"/>
  <c r="AP31" i="1"/>
  <c r="AI31" i="1"/>
  <c r="BC30" i="1"/>
  <c r="AQ30" i="1"/>
  <c r="BD30" i="1" s="1"/>
  <c r="AP30" i="1"/>
  <c r="AI30" i="1"/>
  <c r="BC29" i="1"/>
  <c r="AQ29" i="1"/>
  <c r="BD29" i="1" s="1"/>
  <c r="AP29" i="1"/>
  <c r="AI29" i="1"/>
  <c r="BC28" i="1"/>
  <c r="AQ28" i="1"/>
  <c r="BD28" i="1" s="1"/>
  <c r="AI28" i="1"/>
  <c r="BC27" i="1"/>
  <c r="AQ27" i="1"/>
  <c r="BD27" i="1" s="1"/>
  <c r="AI27" i="1"/>
  <c r="AQ35" i="1"/>
  <c r="AR35" i="1" s="1"/>
  <c r="BC35" i="1" s="1"/>
  <c r="AS96" i="1" l="1"/>
  <c r="AS238" i="1"/>
  <c r="AS84" i="1"/>
  <c r="AS56" i="1"/>
  <c r="AS83" i="1"/>
  <c r="BD35" i="1"/>
  <c r="AS35" i="1" s="1"/>
  <c r="BD271" i="1"/>
  <c r="AS271" i="1" s="1"/>
  <c r="BD92" i="1"/>
  <c r="AS92" i="1" s="1"/>
  <c r="AS214" i="1"/>
  <c r="AS255" i="1"/>
  <c r="BC47" i="1"/>
  <c r="AS216" i="1" s="1"/>
  <c r="BC99" i="1"/>
  <c r="BD34" i="1"/>
  <c r="AS34" i="1" s="1"/>
  <c r="BD97" i="1"/>
  <c r="AS97" i="1" s="1"/>
  <c r="AS91" i="1"/>
  <c r="BD90" i="1"/>
  <c r="BD94" i="1"/>
  <c r="BD95" i="1"/>
  <c r="AS95" i="1" s="1"/>
  <c r="AS203" i="1"/>
  <c r="AS254" i="1"/>
  <c r="BC42" i="1"/>
  <c r="AS137" i="1" s="1"/>
  <c r="BC98" i="1"/>
  <c r="AS46" i="1"/>
  <c r="AS43" i="1"/>
  <c r="AS33" i="1"/>
  <c r="AS28" i="1"/>
  <c r="AS30" i="1"/>
  <c r="AS45" i="1"/>
  <c r="AS29" i="1"/>
  <c r="AS32" i="1"/>
  <c r="AQ51" i="1"/>
  <c r="AQ50" i="1"/>
  <c r="AQ48" i="1"/>
  <c r="BD48" i="1" s="1"/>
  <c r="AQ49" i="1"/>
  <c r="BD51" i="1" l="1"/>
  <c r="AR51" i="1"/>
  <c r="BC51" i="1" s="1"/>
  <c r="BD49" i="1"/>
  <c r="AR49" i="1"/>
  <c r="BC49" i="1" s="1"/>
  <c r="BD50" i="1"/>
  <c r="AR50" i="1"/>
  <c r="BC50" i="1" s="1"/>
  <c r="AS50" i="1" s="1"/>
  <c r="AS31" i="1"/>
  <c r="AS94" i="1"/>
  <c r="AS27" i="1"/>
  <c r="AS90" i="1"/>
  <c r="AS47" i="1"/>
  <c r="AS99" i="1"/>
  <c r="AS42" i="1"/>
  <c r="AS98" i="1"/>
  <c r="AR48" i="1"/>
  <c r="BC48" i="1" s="1"/>
  <c r="AS48" i="1" s="1"/>
  <c r="AQ52" i="1"/>
  <c r="AS51" i="1" l="1"/>
  <c r="AS49" i="1"/>
  <c r="BD100" i="1"/>
  <c r="AR52" i="1"/>
  <c r="BD52" i="1"/>
  <c r="BC52" i="1" l="1"/>
  <c r="AS52" i="1" s="1"/>
  <c r="BC100" i="1"/>
  <c r="AS100" i="1" s="1"/>
  <c r="AQ38" i="1"/>
  <c r="AR38" i="1" s="1"/>
  <c r="BC38" i="1" s="1"/>
  <c r="AQ39" i="1"/>
  <c r="AR39" i="1" s="1"/>
  <c r="BC39" i="1" s="1"/>
  <c r="AQ36" i="1"/>
  <c r="AR36" i="1" s="1"/>
  <c r="BC36" i="1" s="1"/>
  <c r="AQ37" i="1"/>
  <c r="AR37" i="1" s="1"/>
  <c r="BC37" i="1" s="1"/>
  <c r="BD37" i="1" l="1"/>
  <c r="BD273" i="1"/>
  <c r="AS273" i="1" s="1"/>
  <c r="BD36" i="1"/>
  <c r="AS36" i="1" s="1"/>
  <c r="BD272" i="1"/>
  <c r="AS272" i="1" s="1"/>
  <c r="BD39" i="1"/>
  <c r="AS39" i="1" s="1"/>
  <c r="BD44" i="1"/>
  <c r="AS44" i="1" s="1"/>
  <c r="BD38" i="1"/>
  <c r="AS38" i="1" s="1"/>
  <c r="BD241" i="1"/>
  <c r="AS241" i="1" s="1"/>
  <c r="AS37" i="1" l="1"/>
  <c r="AI141" i="1" l="1"/>
  <c r="AI140" i="1"/>
  <c r="AI139" i="1"/>
  <c r="AI138" i="1"/>
  <c r="AI137" i="1"/>
  <c r="AI136" i="1"/>
  <c r="AI134" i="1"/>
  <c r="AI133" i="1"/>
  <c r="AI135" i="1"/>
  <c r="AI132" i="1"/>
  <c r="AI328" i="1" l="1"/>
  <c r="AI327" i="1"/>
  <c r="AI326" i="1"/>
  <c r="AS317" i="1" l="1"/>
  <c r="BC26" i="1" l="1"/>
  <c r="AQ26" i="1" l="1"/>
  <c r="BD89" i="1" s="1"/>
  <c r="AS89" i="1" s="1"/>
  <c r="BD26" i="1" l="1"/>
  <c r="AN26" i="1"/>
  <c r="AS103" i="1"/>
  <c r="AR103" i="1" s="1"/>
  <c r="AS104" i="1"/>
  <c r="AR104" i="1" s="1"/>
  <c r="AP104" i="1" l="1"/>
  <c r="AQ104" i="1"/>
  <c r="AQ103" i="1"/>
  <c r="AP103" i="1"/>
  <c r="BD132" i="1"/>
  <c r="BD135" i="1"/>
  <c r="BC132" i="1"/>
  <c r="AS109" i="1"/>
  <c r="AR109" i="1" s="1"/>
  <c r="BC135" i="1"/>
  <c r="AS112" i="1"/>
  <c r="AR112" i="1" s="1"/>
  <c r="BD134" i="1"/>
  <c r="BC134" i="1"/>
  <c r="AS111" i="1"/>
  <c r="AR111" i="1" s="1"/>
  <c r="AQ111" i="1" s="1"/>
  <c r="BC133" i="1"/>
  <c r="AS110" i="1"/>
  <c r="AR110" i="1" s="1"/>
  <c r="BD133" i="1"/>
  <c r="AS135" i="1" l="1"/>
  <c r="AS132" i="1"/>
  <c r="AS134" i="1"/>
  <c r="AP110" i="1"/>
  <c r="AQ110" i="1"/>
  <c r="AS133" i="1"/>
  <c r="AQ112" i="1"/>
  <c r="AP112" i="1"/>
  <c r="AQ109" i="1"/>
  <c r="AP109" i="1"/>
  <c r="AP111" i="1"/>
  <c r="AQ41" i="1"/>
  <c r="BD41" i="1" s="1"/>
  <c r="BC41" i="1"/>
  <c r="AS41" i="1" l="1"/>
</calcChain>
</file>

<file path=xl/sharedStrings.xml><?xml version="1.0" encoding="utf-8"?>
<sst xmlns="http://schemas.openxmlformats.org/spreadsheetml/2006/main" count="3527" uniqueCount="365">
  <si>
    <t>Cs</t>
  </si>
  <si>
    <t>10.1016/S1872‐2067(18)63069‐4</t>
  </si>
  <si>
    <t>Preparation</t>
  </si>
  <si>
    <t>IWI</t>
  </si>
  <si>
    <t>N.A.</t>
  </si>
  <si>
    <t>10.1039/c7cc04574c</t>
  </si>
  <si>
    <t>Alumina</t>
  </si>
  <si>
    <t>P</t>
  </si>
  <si>
    <t>Bi</t>
  </si>
  <si>
    <t>W</t>
  </si>
  <si>
    <t>Si</t>
  </si>
  <si>
    <t>Ti</t>
  </si>
  <si>
    <t>Al</t>
  </si>
  <si>
    <t>VPO</t>
  </si>
  <si>
    <t>10.1038/s41598-019-53180-8</t>
  </si>
  <si>
    <t>Remark</t>
  </si>
  <si>
    <t>Coprecipitation</t>
  </si>
  <si>
    <t>Wet impregnation</t>
  </si>
  <si>
    <t>10.1016/S0167-2991(08)61662-6</t>
  </si>
  <si>
    <t>V/Ti/P = 1:2:6, contact time 10 s, GHSV of 300 /h</t>
  </si>
  <si>
    <t>V/Si/P = 1:8:2.8, contact time 10 s, GHSV of 300 /h</t>
  </si>
  <si>
    <t>Impregnation</t>
  </si>
  <si>
    <t>10.1016/j.apcata.2020.117472</t>
  </si>
  <si>
    <t>10.1021/acssuschemeng.0c05916</t>
  </si>
  <si>
    <t>Wet ball milling</t>
  </si>
  <si>
    <t>10.1016/j.jiec.2016.06.018</t>
  </si>
  <si>
    <t>Phase modulated catalyst</t>
  </si>
  <si>
    <t>Precipitation deposition</t>
  </si>
  <si>
    <t>10.1039/C9CC08700A</t>
  </si>
  <si>
    <t>Nd</t>
  </si>
  <si>
    <t>Ce</t>
  </si>
  <si>
    <t>10.1039/C7RA09778F</t>
  </si>
  <si>
    <t>10.1016/j.cej.2022.137324</t>
  </si>
  <si>
    <t>10.1007/s11144-018-1443-8</t>
  </si>
  <si>
    <t>Contact time 12 s</t>
  </si>
  <si>
    <t>10.1021/acs.iecr.7b01212</t>
  </si>
  <si>
    <t>10.1016/j.jcat.2019.04.032</t>
  </si>
  <si>
    <t>Ba</t>
  </si>
  <si>
    <t>10.1007/s10562-017-2014-8</t>
  </si>
  <si>
    <t>10.1016/j.jiec.2014.11.014</t>
  </si>
  <si>
    <t>10.1021/acs.iecr.6b03079</t>
  </si>
  <si>
    <t>Zr</t>
  </si>
  <si>
    <t>10.1021/acs.iecr.7b03521</t>
  </si>
  <si>
    <t>HAc</t>
  </si>
  <si>
    <t>MAc</t>
  </si>
  <si>
    <t>Rb</t>
  </si>
  <si>
    <t>10.1021/acs.iecr.7b02841</t>
  </si>
  <si>
    <t>10.1021/acs.iecr.2c00444</t>
  </si>
  <si>
    <t>10.1039/C7RA10008F</t>
  </si>
  <si>
    <t>10.1021/acs.iecr.1c04460</t>
  </si>
  <si>
    <t>EISA</t>
  </si>
  <si>
    <t>Stabilizer</t>
  </si>
  <si>
    <t>10.1007/s10562-018-2535-9</t>
  </si>
  <si>
    <t>10.1007/s10562-018-2609-8</t>
  </si>
  <si>
    <t>10.1021/acs.iecr.7b02522</t>
  </si>
  <si>
    <t>10.1016/j.micromeso.2017.07.045</t>
  </si>
  <si>
    <t>10.1556/JFC-D-14-00035</t>
  </si>
  <si>
    <t>Precipitation</t>
  </si>
  <si>
    <t>10.1016/j.cjche.2021.11.025</t>
  </si>
  <si>
    <t>10.1039/C5RA05133A</t>
  </si>
  <si>
    <t>10.1039/D2CY00447J</t>
  </si>
  <si>
    <t>10.1002/ceat.201700500</t>
  </si>
  <si>
    <t>10.1002/jctb.7032</t>
  </si>
  <si>
    <t>High stability</t>
  </si>
  <si>
    <t>Decent stability</t>
  </si>
  <si>
    <t>Sol-gel</t>
  </si>
  <si>
    <t>Impregnation-deposition</t>
  </si>
  <si>
    <t>3.6 ml/h, 2 ml cat</t>
  </si>
  <si>
    <t>Cat 3 g - 5 ml</t>
  </si>
  <si>
    <t>Impregnation (ultrasonic)</t>
  </si>
  <si>
    <t>Mass extrapolated (VPO 5 ml)</t>
  </si>
  <si>
    <t>Decent stability, mass extrapolated (VPO 5 ml)</t>
  </si>
  <si>
    <t>Mass extrapolated (VPO 10 ml)</t>
  </si>
  <si>
    <t>10.1016/j.cej.2016.04.107</t>
  </si>
  <si>
    <t>10.1039/C6CY00620E</t>
  </si>
  <si>
    <t>10.1002/jctb.6360</t>
  </si>
  <si>
    <t>10.1016/j.jcat.2014.04.005</t>
  </si>
  <si>
    <t>10.1021/acs.iecr.5b01422</t>
  </si>
  <si>
    <t>Contact time 8 s</t>
  </si>
  <si>
    <t>10.15587/1729-4061.2013.19130</t>
  </si>
  <si>
    <t>Mg</t>
  </si>
  <si>
    <t>Ca</t>
  </si>
  <si>
    <t>Sr</t>
  </si>
  <si>
    <t>Not considering MA</t>
  </si>
  <si>
    <t>Not considering MA, inconsistencies with STY</t>
  </si>
  <si>
    <t>10.1016/S1872-2067(18)63145-6</t>
  </si>
  <si>
    <t>Na</t>
  </si>
  <si>
    <t>H-exchange</t>
  </si>
  <si>
    <t>Na-exchange (short)</t>
  </si>
  <si>
    <t>Na-exchange (long)</t>
  </si>
  <si>
    <t>Fast deactivation</t>
  </si>
  <si>
    <t>V/P = 1:1.06, contact time 12 s, GHSV of 300 /h</t>
  </si>
  <si>
    <t>V/Ti/P = 1:2:6, contact time 12 s, GHSV of 300 /h</t>
  </si>
  <si>
    <t>10.4028/www.scientific.net/AMR.233-235.2859</t>
  </si>
  <si>
    <t>Two-step reaction with Cs-Sb-SiO2</t>
  </si>
  <si>
    <t>None</t>
  </si>
  <si>
    <t>Ball milling of pure phases</t>
  </si>
  <si>
    <t>Highly stable (MAc X 32% and S 85%)</t>
  </si>
  <si>
    <t>Stirring</t>
  </si>
  <si>
    <t>Not considering AAc</t>
  </si>
  <si>
    <t>Author</t>
  </si>
  <si>
    <t>10.1021/acs.iecr.8b02132</t>
  </si>
  <si>
    <t>Au Chak-Tong</t>
  </si>
  <si>
    <t>Zhenlu Wang</t>
  </si>
  <si>
    <t>Nb</t>
  </si>
  <si>
    <t>No information on deactivation</t>
  </si>
  <si>
    <t>Year</t>
  </si>
  <si>
    <t>10.1039/C8RA09241A</t>
  </si>
  <si>
    <t>Mo</t>
  </si>
  <si>
    <t>Cr</t>
  </si>
  <si>
    <t>La</t>
  </si>
  <si>
    <t>Chunshan Li</t>
  </si>
  <si>
    <t>Fe</t>
  </si>
  <si>
    <t>Cu</t>
  </si>
  <si>
    <t>Co</t>
  </si>
  <si>
    <t>K</t>
  </si>
  <si>
    <t>Ni</t>
  </si>
  <si>
    <t>10.1016/j.cattod.2018.06.019</t>
  </si>
  <si>
    <t>10.1016/0021-9517(87)90285-5</t>
  </si>
  <si>
    <t>Mamoru Ai</t>
  </si>
  <si>
    <t>10.1016/S0166-9834(00)80265-1</t>
  </si>
  <si>
    <t>10.1016/S0166-9834(00)82351-9</t>
  </si>
  <si>
    <t>Not considering MAc</t>
  </si>
  <si>
    <t>Te</t>
  </si>
  <si>
    <t xml:space="preserve">Precipitation - impregnation </t>
  </si>
  <si>
    <t>Ji Weijie (Au Chak-Tong)</t>
  </si>
  <si>
    <t>10.1039/D2RA06960A</t>
  </si>
  <si>
    <t>10.1007/s11237-020-09658-y</t>
  </si>
  <si>
    <t>Amorphous</t>
  </si>
  <si>
    <t>HTT - crystalline</t>
  </si>
  <si>
    <t>MChT - crystalline</t>
  </si>
  <si>
    <t>MWT - crystalline</t>
  </si>
  <si>
    <t>Contact time 12 s, apparently stable</t>
  </si>
  <si>
    <t>Roman Nebesnyi</t>
  </si>
  <si>
    <t>10.15587/1729-4061.2015.37405</t>
  </si>
  <si>
    <t>10.1109/NAP.2017.8190167</t>
  </si>
  <si>
    <t>MChT</t>
  </si>
  <si>
    <t>Contact time 8-12 s</t>
  </si>
  <si>
    <t>HTT; impregnation</t>
  </si>
  <si>
    <t>MChT; impregnation</t>
  </si>
  <si>
    <t>Wang Zhenlu</t>
  </si>
  <si>
    <t>Li</t>
  </si>
  <si>
    <t>Not considering AAc and AA</t>
  </si>
  <si>
    <t>10.1007/s11144-018-1419-8</t>
  </si>
  <si>
    <t>EISA - IWI</t>
  </si>
  <si>
    <t>HTT</t>
  </si>
  <si>
    <t>HTT - Wet impregnation</t>
  </si>
  <si>
    <t>Slow deactivation; not considering MAc</t>
  </si>
  <si>
    <t>Wet impregnation (ultrasonic)</t>
  </si>
  <si>
    <t>Not considering AAc and AA, LHSV 1/h</t>
  </si>
  <si>
    <t>Not considering AAc and AA, LHSV 1.71/h</t>
  </si>
  <si>
    <t>Not considering AAc and AA, LHSV 0.66/h</t>
  </si>
  <si>
    <t>Mass extrapolated (6 ml SiO2)</t>
  </si>
  <si>
    <t>Precipitation - IWI</t>
  </si>
  <si>
    <t>Cat 3.5 g - 6 ml, not considering AAc</t>
  </si>
  <si>
    <t>10.1002/cjce.22889</t>
  </si>
  <si>
    <t>10.1021/acs.iecr.2c03415</t>
  </si>
  <si>
    <t>Cat 1.8 g - 3.6 ml</t>
  </si>
  <si>
    <t>CLD</t>
  </si>
  <si>
    <t>CLD-IWI</t>
  </si>
  <si>
    <t>10.4028/www.scientific.net/AMR.629.376</t>
  </si>
  <si>
    <t>Zhirong Zhu</t>
  </si>
  <si>
    <t>Vacuum IWI</t>
  </si>
  <si>
    <t>Ultrasonic IWI</t>
  </si>
  <si>
    <t>IWI (a-Al2O3)</t>
  </si>
  <si>
    <t>IWI (y-Al2O3)</t>
  </si>
  <si>
    <t>IWI (HPV-Al2O3)</t>
  </si>
  <si>
    <t>Not considering AA and AAc</t>
  </si>
  <si>
    <t>Jidong Wang</t>
  </si>
  <si>
    <t>10.1016/j.cattod.2020.06.026</t>
  </si>
  <si>
    <t>Xuezhi Duan</t>
  </si>
  <si>
    <t>10.1021/acs.energyfuels.1c03082</t>
  </si>
  <si>
    <t>Ming Xu</t>
  </si>
  <si>
    <t>Wenliang Zhu</t>
  </si>
  <si>
    <t>Hengbo Yin</t>
  </si>
  <si>
    <t>DMM</t>
  </si>
  <si>
    <t>Fast deactivation, complete recovery of catalytic acitivity upon regeneration</t>
  </si>
  <si>
    <t>10.1021/i360017a011</t>
  </si>
  <si>
    <t>James Vitcha</t>
  </si>
  <si>
    <t>Mn</t>
  </si>
  <si>
    <t>Zn</t>
  </si>
  <si>
    <t>Ion exchange</t>
  </si>
  <si>
    <t>Shuxin Liu</t>
  </si>
  <si>
    <t>Junfeng Zhang</t>
  </si>
  <si>
    <t>10.1039/D2CC06618A</t>
  </si>
  <si>
    <t>10.1016/j.fuel.2023.128414</t>
  </si>
  <si>
    <t>Sol-gel and IWI</t>
  </si>
  <si>
    <t>10.1039/D3NJ00221G</t>
  </si>
  <si>
    <t>Ji Weijie</t>
  </si>
  <si>
    <t>Wet-solid ball milling</t>
  </si>
  <si>
    <t>WI</t>
  </si>
  <si>
    <t>Dezhi Sun</t>
  </si>
  <si>
    <t>Yi Jiang</t>
  </si>
  <si>
    <t>10.1016/j.apcata.2023.119441</t>
  </si>
  <si>
    <t>10.1016/j.cej.2023.145655</t>
  </si>
  <si>
    <t>Chemical liquid deposition (CLD)</t>
  </si>
  <si>
    <t>EAc</t>
  </si>
  <si>
    <t>10.1016/j.jiec.2016.11.002</t>
  </si>
  <si>
    <t>10.19906/j.cnki.JFCT.2022036</t>
  </si>
  <si>
    <t>10.1080/00219592.2023.2300818</t>
  </si>
  <si>
    <t>Ligand-assisted IWI</t>
  </si>
  <si>
    <t>Cat 3 g - 6 ml</t>
  </si>
  <si>
    <t>10.1021/acs.iecr.4c00771</t>
  </si>
  <si>
    <t>PEG-assisted IWI</t>
  </si>
  <si>
    <t>10.1016/j.ces.2024.120716</t>
  </si>
  <si>
    <t>V</t>
  </si>
  <si>
    <t>Sb</t>
  </si>
  <si>
    <t>B</t>
  </si>
  <si>
    <t>MeOH</t>
  </si>
  <si>
    <t>EtOH</t>
  </si>
  <si>
    <t>FORM</t>
  </si>
  <si>
    <t>TRX</t>
  </si>
  <si>
    <t>doi</t>
  </si>
  <si>
    <t>Digitalize S</t>
  </si>
  <si>
    <t>10.2139/ssrn.4741336</t>
  </si>
  <si>
    <t>10.1021/acssuschemeng.3c07406</t>
  </si>
  <si>
    <t>Xingtian Shu</t>
  </si>
  <si>
    <t>TS-1</t>
  </si>
  <si>
    <t>10.1016/j.jcat.2024.115612</t>
  </si>
  <si>
    <t>Digitalize X and S</t>
  </si>
  <si>
    <t>10.1039/D3CY00844D</t>
  </si>
  <si>
    <t>Cuncun Zuo</t>
  </si>
  <si>
    <t>MAc_1</t>
  </si>
  <si>
    <t>MAc_2</t>
  </si>
  <si>
    <t>MAc_4</t>
  </si>
  <si>
    <t>MeOH_2</t>
  </si>
  <si>
    <t>MeOH_6</t>
  </si>
  <si>
    <t>MeOH_8</t>
  </si>
  <si>
    <t>MeOH_10</t>
  </si>
  <si>
    <t>10.1039/D1RE00020A</t>
  </si>
  <si>
    <t>Hengshui Tian</t>
  </si>
  <si>
    <t>UnsupportedVPO</t>
  </si>
  <si>
    <t>gammaVPO-deltaVPO-3-1</t>
  </si>
  <si>
    <t>33%VPO-SilicaHP</t>
  </si>
  <si>
    <t>33%VPO-MCF</t>
  </si>
  <si>
    <t>1.8 ml/h, 2 ml cat</t>
  </si>
  <si>
    <t>Mass extrapolated (2 ml SiO2)</t>
  </si>
  <si>
    <t>CsSBA15</t>
  </si>
  <si>
    <t>Formalin</t>
  </si>
  <si>
    <t>Trioxane</t>
  </si>
  <si>
    <t>VPO-Zr</t>
  </si>
  <si>
    <t>Ce-SBA15(10)</t>
  </si>
  <si>
    <t>SBA15</t>
  </si>
  <si>
    <t>10Cs-Ce-SBA15(10)</t>
  </si>
  <si>
    <t>10Cs-Ce-SBA15imp</t>
  </si>
  <si>
    <t>Ba-TiO2</t>
  </si>
  <si>
    <t>Ba-Al2O3</t>
  </si>
  <si>
    <t>Ba-Ti-Al2O3</t>
  </si>
  <si>
    <t>Ba-gamma-TiAl2O3</t>
  </si>
  <si>
    <t>5Ba-Alumina</t>
  </si>
  <si>
    <t>5Ba-0.5La-Alumina</t>
  </si>
  <si>
    <t>Y_Fa_Acryl higher than 100%..</t>
  </si>
  <si>
    <t>gamma-Alumina</t>
  </si>
  <si>
    <t>1Ba-gamma-Alumina</t>
  </si>
  <si>
    <t>5Ba-gamma-Alumina</t>
  </si>
  <si>
    <t>10Ba-gamma-Alumina</t>
  </si>
  <si>
    <t>Not considering AAc and AA, LHSV 1/h, volume extrapolated (5g - 10ml)</t>
  </si>
  <si>
    <t>Cs–La–Sb--SiO2-(U)</t>
  </si>
  <si>
    <t>Cs–La–Sb --SiO2-(V)</t>
  </si>
  <si>
    <t>Li-SBA15</t>
  </si>
  <si>
    <t>Na-SBA15</t>
  </si>
  <si>
    <t>K-SBA15</t>
  </si>
  <si>
    <t>Rb-SBA15</t>
  </si>
  <si>
    <t>Cs-SBA15</t>
  </si>
  <si>
    <t>Cs-SBA15-long</t>
  </si>
  <si>
    <t>LHSV-0.5</t>
  </si>
  <si>
    <t>LHSV-1.8</t>
  </si>
  <si>
    <t>LHSV-2.7</t>
  </si>
  <si>
    <t>LHSV-0.9_T-663_R_2-1-2</t>
  </si>
  <si>
    <t>LHSV-0.9_T-663_R_1.5-1.5-2</t>
  </si>
  <si>
    <t>LHSV-1.8_T-618</t>
  </si>
  <si>
    <t>LHSV-1.8_T-708</t>
  </si>
  <si>
    <t>LHSV-1.8_T-648</t>
  </si>
  <si>
    <t>LHSV-1.8_T-678</t>
  </si>
  <si>
    <t>CsOx</t>
  </si>
  <si>
    <t>Cs_SiO2</t>
  </si>
  <si>
    <t>Cs_S1</t>
  </si>
  <si>
    <t>Cs_TS1</t>
  </si>
  <si>
    <t>0.37micrompgCs-ASilica</t>
  </si>
  <si>
    <t>0.37micrompgCs-BSilica</t>
  </si>
  <si>
    <t>0.37micrompgCs-CSilica</t>
  </si>
  <si>
    <t>0.12micrompgCs-BSilica</t>
  </si>
  <si>
    <t>0.25micrompgCs-BSilica</t>
  </si>
  <si>
    <t>0.75micrompgCs-BSilica</t>
  </si>
  <si>
    <t>1.12micrompgCs-BSilica</t>
  </si>
  <si>
    <t>N-HZSM5</t>
  </si>
  <si>
    <t>M-HZSM5</t>
  </si>
  <si>
    <t>VPO1%Ba-SiO2</t>
  </si>
  <si>
    <t>VPO-SiO2</t>
  </si>
  <si>
    <t>V-Ti-Nb</t>
  </si>
  <si>
    <t>V-Ti-Mo</t>
  </si>
  <si>
    <t>V-Ti-W</t>
  </si>
  <si>
    <t>V-Ti-Bi</t>
  </si>
  <si>
    <t>Glycosidil-Si-V-Ti</t>
  </si>
  <si>
    <t>AllylSi-V-Ti</t>
  </si>
  <si>
    <t>UnModifiedV-Ti</t>
  </si>
  <si>
    <t>VPO-MCF</t>
  </si>
  <si>
    <t>Atom_1</t>
  </si>
  <si>
    <t>Atom_2</t>
  </si>
  <si>
    <t>Atom_3</t>
  </si>
  <si>
    <t>Atom_4</t>
  </si>
  <si>
    <t>Ac_source</t>
  </si>
  <si>
    <t>Fa_source</t>
  </si>
  <si>
    <t>Ratio_Ac_Fa</t>
  </si>
  <si>
    <t>Ratio_Stab_Fa</t>
  </si>
  <si>
    <t>LHSV_mlhg</t>
  </si>
  <si>
    <t>GHSV_mlming</t>
  </si>
  <si>
    <t>Pressure_bar</t>
  </si>
  <si>
    <t>Temperature_K</t>
  </si>
  <si>
    <t>O_content</t>
  </si>
  <si>
    <t>Carrier</t>
  </si>
  <si>
    <t>NaN</t>
  </si>
  <si>
    <t>X_Ac</t>
  </si>
  <si>
    <t>S_Acryl_Ac</t>
  </si>
  <si>
    <t>X_Fa</t>
  </si>
  <si>
    <t>S_Acryl_Fa</t>
  </si>
  <si>
    <t>Y_Acryl_Ac</t>
  </si>
  <si>
    <t>Y_Acryl_Fa</t>
  </si>
  <si>
    <t>Link_to_excel</t>
  </si>
  <si>
    <t>g_cat</t>
  </si>
  <si>
    <t>MeOH_mmolmin</t>
  </si>
  <si>
    <t>Fa_mmolmin</t>
  </si>
  <si>
    <t>Ac_mmolmin</t>
  </si>
  <si>
    <t>STY_Fa_mmolhg</t>
  </si>
  <si>
    <t>STY_Ac_mmolhg</t>
  </si>
  <si>
    <t>Supp_1</t>
  </si>
  <si>
    <t>TiO2</t>
  </si>
  <si>
    <t>Al2O3</t>
  </si>
  <si>
    <t>Mass extrapolated (VPO 1 ml)</t>
  </si>
  <si>
    <t>Wrong yield formula</t>
  </si>
  <si>
    <t>Supp_2</t>
  </si>
  <si>
    <t>VPO1%Mg-SiO2</t>
  </si>
  <si>
    <t>VPO1%Ca-SiO2</t>
  </si>
  <si>
    <t>VPO1%Sr-SiO2</t>
  </si>
  <si>
    <t>Supp_Mol_1</t>
  </si>
  <si>
    <t>Supp_Mol_2</t>
  </si>
  <si>
    <t>Supp_Mass</t>
  </si>
  <si>
    <t>Ti-Al2O3</t>
  </si>
  <si>
    <t>gamma-TiAl2O3</t>
  </si>
  <si>
    <t>Supp_Mass_Oxide_1</t>
  </si>
  <si>
    <t>Supp_Mass_Oxide_2</t>
  </si>
  <si>
    <t>Mass element or oxide?</t>
  </si>
  <si>
    <t>Cs-Al2O3-A</t>
  </si>
  <si>
    <t>Cs-Al2O3-B</t>
  </si>
  <si>
    <t>Cs-Al2O3-C</t>
  </si>
  <si>
    <t>Cs-Al2O3-D</t>
  </si>
  <si>
    <t>Cat 5g - 10 ml</t>
  </si>
  <si>
    <t>Sn</t>
  </si>
  <si>
    <t>S</t>
  </si>
  <si>
    <t>Atom_Mol_1</t>
  </si>
  <si>
    <t>Atom_Mass_Elem_1</t>
  </si>
  <si>
    <t>Atom_Mass_Oxide_1</t>
  </si>
  <si>
    <t>Atom_Mol_2</t>
  </si>
  <si>
    <t>Atom_Mass_Elem_2</t>
  </si>
  <si>
    <t>Atom_Mass_Oxide_2</t>
  </si>
  <si>
    <t>Atom_Mol_3</t>
  </si>
  <si>
    <t>Atom_Mass_Elem_3</t>
  </si>
  <si>
    <t>Atom_Mass_Oxide_3</t>
  </si>
  <si>
    <t>Atom_Mol_4</t>
  </si>
  <si>
    <t>Atom_Mass_Elem_4</t>
  </si>
  <si>
    <t>Atom_Mass_Oxide_4</t>
  </si>
  <si>
    <t>STY_Acryl_mmolhg_manual</t>
  </si>
  <si>
    <t>SSA_m2g</t>
  </si>
  <si>
    <t>SSA_Supp_m2g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</si>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</sst>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5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sz val="8"/>
      <name val="TimesNewRomanPSMT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3" fillId="2" borderId="1" xfId="0" applyFont="1" applyFill="1" applyBorder="1"/>
    <xf numFmtId="0" fontId="3" fillId="2" borderId="2" xfId="0" applyFont="1" applyFill="1" applyBorder="1"/>
    <xf numFmtId="0" fontId="3" fillId="0" borderId="0" xfId="0" applyFont="1"/>
    <xf numFmtId="49" fontId="3" fillId="0" borderId="0" xfId="0" applyNumberFormat="1" applyFont="1" applyBorder="1"/>
    <xf numFmtId="9" fontId="3" fillId="0" borderId="0" xfId="1" applyFont="1" applyBorder="1"/>
    <xf numFmtId="2" fontId="3" fillId="0" borderId="0" xfId="1" applyNumberFormat="1" applyFont="1" applyBorder="1"/>
    <xf numFmtId="2" fontId="3" fillId="0" borderId="0" xfId="0" applyNumberFormat="1" applyFont="1" applyBorder="1"/>
    <xf numFmtId="0" fontId="3" fillId="0" borderId="0" xfId="0" applyFont="1" applyBorder="1"/>
    <xf numFmtId="164" fontId="3" fillId="0" borderId="0" xfId="0" applyNumberFormat="1" applyFont="1" applyBorder="1"/>
    <xf numFmtId="0" fontId="3" fillId="0" borderId="1" xfId="0" applyFont="1" applyFill="1" applyBorder="1"/>
    <xf numFmtId="0" fontId="3" fillId="0" borderId="3" xfId="0" applyFont="1" applyFill="1" applyBorder="1"/>
    <xf numFmtId="49" fontId="3" fillId="0" borderId="1" xfId="0" applyNumberFormat="1" applyFont="1" applyFill="1" applyBorder="1"/>
    <xf numFmtId="2" fontId="3" fillId="0" borderId="3" xfId="0" applyNumberFormat="1" applyFont="1" applyFill="1" applyBorder="1"/>
    <xf numFmtId="9" fontId="3" fillId="0" borderId="3" xfId="1" applyFont="1" applyFill="1" applyBorder="1"/>
    <xf numFmtId="2" fontId="3" fillId="0" borderId="3" xfId="1" applyNumberFormat="1" applyFont="1" applyFill="1" applyBorder="1"/>
    <xf numFmtId="1" fontId="3" fillId="0" borderId="3" xfId="1" applyNumberFormat="1" applyFont="1" applyFill="1" applyBorder="1"/>
    <xf numFmtId="9" fontId="3" fillId="0" borderId="4" xfId="1" applyFont="1" applyFill="1" applyBorder="1"/>
    <xf numFmtId="0" fontId="3" fillId="0" borderId="0" xfId="0" applyFont="1" applyFill="1"/>
    <xf numFmtId="9" fontId="3" fillId="0" borderId="1" xfId="1" applyFont="1" applyFill="1" applyBorder="1"/>
    <xf numFmtId="164" fontId="3" fillId="0" borderId="1" xfId="0" applyNumberFormat="1" applyFont="1" applyFill="1" applyBorder="1"/>
    <xf numFmtId="0" fontId="3" fillId="3" borderId="1" xfId="0" applyFont="1" applyFill="1" applyBorder="1"/>
    <xf numFmtId="2" fontId="3" fillId="3" borderId="1" xfId="0" applyNumberFormat="1" applyFont="1" applyFill="1" applyBorder="1"/>
    <xf numFmtId="9" fontId="3" fillId="3" borderId="1" xfId="1" applyFont="1" applyFill="1" applyBorder="1"/>
    <xf numFmtId="2" fontId="3" fillId="3" borderId="1" xfId="1" applyNumberFormat="1" applyFont="1" applyFill="1" applyBorder="1"/>
    <xf numFmtId="0" fontId="3" fillId="3" borderId="0" xfId="0" applyFont="1" applyFill="1"/>
    <xf numFmtId="164" fontId="3" fillId="3" borderId="1" xfId="0" applyNumberFormat="1" applyFont="1" applyFill="1" applyBorder="1"/>
    <xf numFmtId="2" fontId="3" fillId="0" borderId="1" xfId="0" applyNumberFormat="1" applyFont="1" applyFill="1" applyBorder="1"/>
    <xf numFmtId="2" fontId="3" fillId="0" borderId="1" xfId="1" applyNumberFormat="1" applyFont="1" applyFill="1" applyBorder="1"/>
    <xf numFmtId="1" fontId="3" fillId="0" borderId="1" xfId="1" applyNumberFormat="1" applyFont="1" applyFill="1" applyBorder="1"/>
    <xf numFmtId="9" fontId="3" fillId="0" borderId="5" xfId="1" applyFont="1" applyFill="1" applyBorder="1"/>
    <xf numFmtId="9" fontId="3" fillId="0" borderId="1" xfId="1" applyNumberFormat="1" applyFont="1" applyFill="1" applyBorder="1"/>
    <xf numFmtId="165" fontId="3" fillId="0" borderId="1" xfId="0" applyNumberFormat="1" applyFont="1" applyFill="1" applyBorder="1"/>
    <xf numFmtId="164" fontId="3" fillId="2" borderId="2" xfId="0" applyNumberFormat="1" applyFont="1" applyFill="1" applyBorder="1"/>
    <xf numFmtId="164" fontId="3" fillId="2" borderId="1" xfId="0" applyNumberFormat="1" applyFont="1" applyFill="1" applyBorder="1"/>
    <xf numFmtId="1" fontId="3" fillId="3" borderId="3" xfId="1" applyNumberFormat="1" applyFont="1" applyFill="1" applyBorder="1"/>
    <xf numFmtId="165" fontId="3" fillId="0" borderId="3" xfId="0" applyNumberFormat="1" applyFont="1" applyFill="1" applyBorder="1"/>
    <xf numFmtId="9" fontId="3" fillId="3" borderId="5" xfId="1" applyFont="1" applyFill="1" applyBorder="1"/>
    <xf numFmtId="0" fontId="3" fillId="4" borderId="0" xfId="0" applyFont="1" applyFill="1"/>
    <xf numFmtId="1" fontId="3" fillId="3" borderId="1" xfId="1" applyNumberFormat="1" applyFont="1" applyFill="1" applyBorder="1"/>
    <xf numFmtId="164" fontId="3" fillId="0" borderId="3" xfId="0" applyNumberFormat="1" applyFont="1" applyFill="1" applyBorder="1"/>
    <xf numFmtId="0" fontId="3" fillId="3" borderId="3" xfId="0" applyFont="1" applyFill="1" applyBorder="1"/>
    <xf numFmtId="164" fontId="3" fillId="3" borderId="3" xfId="0" applyNumberFormat="1" applyFont="1" applyFill="1" applyBorder="1"/>
    <xf numFmtId="2" fontId="3" fillId="3" borderId="3" xfId="0" applyNumberFormat="1" applyFont="1" applyFill="1" applyBorder="1"/>
    <xf numFmtId="9" fontId="3" fillId="3" borderId="3" xfId="1" applyFont="1" applyFill="1" applyBorder="1"/>
    <xf numFmtId="9" fontId="4" fillId="0" borderId="5" xfId="1" applyFont="1" applyFill="1" applyBorder="1"/>
    <xf numFmtId="166" fontId="3" fillId="0" borderId="1" xfId="0" applyNumberFormat="1" applyFont="1" applyFill="1" applyBorder="1"/>
    <xf numFmtId="2" fontId="3" fillId="3" borderId="3" xfId="1" applyNumberFormat="1" applyFont="1" applyFill="1" applyBorder="1"/>
    <xf numFmtId="9" fontId="3" fillId="3" borderId="4" xfId="1" applyFont="1" applyFill="1" applyBorder="1"/>
    <xf numFmtId="2" fontId="3" fillId="0" borderId="4" xfId="1" applyNumberFormat="1" applyFont="1" applyFill="1" applyBorder="1"/>
    <xf numFmtId="1" fontId="3" fillId="0" borderId="1" xfId="0" applyNumberFormat="1" applyFont="1" applyFill="1" applyBorder="1"/>
    <xf numFmtId="1" fontId="3" fillId="0" borderId="3" xfId="0" applyNumberFormat="1" applyFont="1" applyFill="1" applyBorder="1"/>
    <xf numFmtId="1" fontId="3" fillId="3" borderId="1" xfId="0" applyNumberFormat="1" applyFont="1" applyFill="1" applyBorder="1"/>
    <xf numFmtId="1" fontId="3" fillId="3" borderId="3" xfId="0" applyNumberFormat="1" applyFont="1" applyFill="1" applyBorder="1"/>
    <xf numFmtId="0" fontId="3" fillId="5" borderId="0" xfId="0" applyFont="1" applyFill="1"/>
  </cellXfs>
  <cellStyles count="2">
    <cellStyle name="Normal" xfId="0" builtinId="0"/>
    <cellStyle name="Percent" xfId="1" builtinId="5"/>
  </cellStyles>
  <dxfs count="61"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  <numFmt numFmtId="164" formatCode="0.0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  <numFmt numFmtId="164" formatCode="0.0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  <numFmt numFmtId="164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6133E3-D932-B146-97AD-3D058D9C557A}" name="Table1" displayName="Table1" ref="A1:BD376" totalsRowShown="0" headerRowDxfId="60" dataDxfId="58" headerRowBorderDxfId="59" tableBorderDxfId="57" totalsRowBorderDxfId="56">
  <autoFilter ref="A1:BD376" xr:uid="{E26133E3-D932-B146-97AD-3D058D9C557A}"/>
  <sortState xmlns:xlrd2="http://schemas.microsoft.com/office/spreadsheetml/2017/richdata2" ref="A2:BD376">
    <sortCondition ref="A1:A376"/>
  </sortState>
  <tableColumns count="56">
    <tableColumn id="32" xr3:uid="{09B9FDC4-2F21-4462-9A97-0A6212101876}" name="Item" dataDxfId="55"/>
    <tableColumn id="51" xr3:uid="{BBB29B3F-F3D0-4567-82F4-EEDEEEB9787C}" name="Supp_Mass" dataDxfId="54"/>
    <tableColumn id="52" xr3:uid="{855C21A6-0F2A-4C8C-BE64-B4AEFA85A977}" name="Supp_1" dataDxfId="53"/>
    <tableColumn id="45" xr3:uid="{1B891C7F-D308-4545-BFE8-548E9E8AD529}" name="Supp_Mol_1" dataDxfId="52"/>
    <tableColumn id="53" xr3:uid="{FD567DE2-CAD9-4929-869B-65817DF68577}" name="Supp_Mass_Oxide_1" dataDxfId="51"/>
    <tableColumn id="56" xr3:uid="{00D3AF69-0B9B-4319-8EA3-89D29EC22502}" name="Supp_2" dataDxfId="50"/>
    <tableColumn id="50" xr3:uid="{072AC7E3-D207-4FD3-9E2A-848CD8A199CC}" name="Supp_Mol_2" dataDxfId="49"/>
    <tableColumn id="55" xr3:uid="{C2C3180C-16C8-44D3-97F3-11C6B5D4791D}" name="Supp_Mass_Oxide_2" dataDxfId="48"/>
    <tableColumn id="33" xr3:uid="{BC899576-1518-44D5-8EB0-6C57A7B042EE}" name="Atom_1" dataDxfId="47"/>
    <tableColumn id="46" xr3:uid="{BC0BF9FA-4A4A-4DA4-A2EB-5F4705FDA0C6}" name="Atom_Mol_1" dataDxfId="46"/>
    <tableColumn id="58" xr3:uid="{EE9DF044-64E1-4DA2-AE15-A41C9F935E0B}" name="Atom_Mass_Elem_1" dataDxfId="45"/>
    <tableColumn id="60" xr3:uid="{EDDD502F-9D9B-4701-98DA-8081D8CDF8CE}" name="Atom_Mass_Oxide_1" dataDxfId="44"/>
    <tableColumn id="34" xr3:uid="{A5F9F6E6-BD77-4082-961F-6EE2E94192B5}" name="Atom_2" dataDxfId="43"/>
    <tableColumn id="47" xr3:uid="{804819F9-10AB-4DFA-9B9D-C7B568C0EA35}" name="Atom_Mol_2" dataDxfId="42"/>
    <tableColumn id="61" xr3:uid="{2D5C5737-164F-4C42-B09B-DB95A615AB6E}" name="Atom_Mass_Elem_2" dataDxfId="41"/>
    <tableColumn id="59" xr3:uid="{E7E55E98-312B-4DF0-81C5-F151633A1516}" name="Atom_Mass_Oxide_2" dataDxfId="40"/>
    <tableColumn id="35" xr3:uid="{372148F9-52A4-4FAC-A429-C6E9FFB5F190}" name="Atom_3" dataDxfId="39"/>
    <tableColumn id="48" xr3:uid="{DEDFF8BE-4665-41DD-A15B-D5DD69325D33}" name="Atom_Mol_3" dataDxfId="38"/>
    <tableColumn id="62" xr3:uid="{DB180482-CF56-4DA3-B951-CEC0F02DCD5E}" name="Atom_Mass_Elem_3" dataDxfId="37"/>
    <tableColumn id="54" xr3:uid="{C4FB8262-EDC0-4C63-8D51-5004C411470A}" name="Atom_Mass_Oxide_3" dataDxfId="36"/>
    <tableColumn id="36" xr3:uid="{2307492D-FE4F-4FF7-ACF9-89E342B0200F}" name="Atom_4" dataDxfId="35"/>
    <tableColumn id="49" xr3:uid="{AFC0530C-28F3-48F5-AE6D-508C42666058}" name="Atom_Mol_4" dataDxfId="34"/>
    <tableColumn id="63" xr3:uid="{4949145A-7108-41EE-A229-EBF9973EB70E}" name="Atom_Mass_Elem_4" dataDxfId="33"/>
    <tableColumn id="57" xr3:uid="{BC39D710-03DF-4703-BB48-F98045E037D1}" name="Atom_Mass_Oxide_4" dataDxfId="32"/>
    <tableColumn id="44" xr3:uid="{769EE6D6-F998-45AF-BCFC-1FB9D8E81021}" name="SSA_m2g" dataDxfId="31"/>
    <tableColumn id="64" xr3:uid="{BDD1EE0A-110E-4AC0-9965-2A798881D5A0}" name="SSA_Supp_m2g" dataDxfId="30"/>
    <tableColumn id="11" xr3:uid="{BD946A69-FB94-114D-8D0C-73CDCF80E7A5}" name="Preparation" dataDxfId="29"/>
    <tableColumn id="27" xr3:uid="{804EA02A-6856-4AD5-BBEA-985FEC09BA54}" name="Carrier" dataDxfId="28"/>
    <tableColumn id="4" xr3:uid="{CE58CCF5-34A3-454A-8E84-52632F552945}" name="O_content" dataDxfId="27"/>
    <tableColumn id="19" xr3:uid="{86A1DCC5-90CF-9E4B-B6E7-62E2961ED205}" name="Ac_source" dataDxfId="26"/>
    <tableColumn id="18" xr3:uid="{00515F0C-1CFA-1B43-8D7F-53ED15F7AA25}" name="Fa_source" dataDxfId="25"/>
    <tableColumn id="20" xr3:uid="{3C24FFEB-7167-AE44-A549-D465B4D33C8B}" name="Stabilizer" dataDxfId="24"/>
    <tableColumn id="16" xr3:uid="{7838ACA5-B8DC-A844-8B9E-125E832BC040}" name="Ratio_Ac_Fa" dataDxfId="23"/>
    <tableColumn id="28" xr3:uid="{0AC3337F-DEEB-463D-A870-91C3086DFFA7}" name="Ratio_Stab_Fa" dataDxfId="22"/>
    <tableColumn id="15" xr3:uid="{C685290F-5E1F-FA44-8D08-6A08EE7EAFD9}" name="LHSV_mlhg" dataDxfId="21"/>
    <tableColumn id="29" xr3:uid="{8F7ECC1B-C788-4CB0-9E5D-FF5545194F41}" name="GHSV_mlming" dataDxfId="20"/>
    <tableColumn id="9" xr3:uid="{180CA322-4F82-E34C-AAED-C88C41FEA4D3}" name="Pressure_bar" dataDxfId="19"/>
    <tableColumn id="10" xr3:uid="{3872CA59-3292-334A-B48B-E4BF2C3F6FFB}" name="Temperature_K" dataDxfId="18"/>
    <tableColumn id="8" xr3:uid="{7B29E079-7C80-5C45-9DC9-AB3E24648EC6}" name="X_Ac" dataDxfId="17"/>
    <tableColumn id="5" xr3:uid="{4708F72B-DBAF-864B-9A89-3B601E3785CC}" name="S_Acryl_Ac" dataDxfId="16"/>
    <tableColumn id="13" xr3:uid="{52EF3649-A705-B64B-AECC-1F70C6BD8091}" name="X_Fa" dataDxfId="15"/>
    <tableColumn id="12" xr3:uid="{6CC5A9B3-29CD-A742-843E-EE028675A0C5}" name="S_Acryl_Fa" dataDxfId="14"/>
    <tableColumn id="6" xr3:uid="{9705D1F2-8688-5F47-A12A-96CB129EF9DD}" name="Y_Acryl_Ac" dataDxfId="13"/>
    <tableColumn id="14" xr3:uid="{7EA678B2-FF05-7A46-8C01-913265911C36}" name="Y_Acryl_Fa" dataDxfId="12"/>
    <tableColumn id="17" xr3:uid="{43C2838A-F4B2-C84C-8E64-1F1EED6EE333}" name="STY_Acryl_mmolhg_manual" dataDxfId="11"/>
    <tableColumn id="26" xr3:uid="{68B63249-04F0-4C39-805A-318B92CBA37C}" name="Link_to_excel" dataDxfId="10" dataCellStyle="Percent"/>
    <tableColumn id="7" xr3:uid="{778C5382-5AF4-BF40-9A7B-2C01AC6356E0}" name="doi" dataDxfId="9"/>
    <tableColumn id="21" xr3:uid="{64603A49-82B8-354B-9EF8-DD80736B0EE0}" name="Remark" dataDxfId="8"/>
    <tableColumn id="22" xr3:uid="{27D47DCA-02F9-084C-B7C5-18ACB9932025}" name="Author" dataDxfId="7"/>
    <tableColumn id="30" xr3:uid="{B6897C89-5815-492E-A5C6-DDBB1960E8DE}" name="Year" dataDxfId="6"/>
    <tableColumn id="37" xr3:uid="{65F6D192-CFE9-4F83-8C40-F4914E32EA4F}" name="g_cat" dataDxfId="5"/>
    <tableColumn id="38" xr3:uid="{79D78BA3-6360-41CD-AF75-F311089DDD2F}" name="MeOH_mmolmin" dataDxfId="4"/>
    <tableColumn id="39" xr3:uid="{1C905198-6B1F-4069-91EF-3496A00B460D}" name="Fa_mmolmin" dataDxfId="3"/>
    <tableColumn id="40" xr3:uid="{7B083A9A-D613-4311-BD4D-CC5F84C919C8}" name="Ac_mmolmin" dataDxfId="2"/>
    <tableColumn id="41" xr3:uid="{0DD4FBC3-3465-4CB9-8B1B-63F3C6CC2108}" name="STY_Fa_mmolhg" dataDxfId="1"/>
    <tableColumn id="42" xr3:uid="{FE3FAAF4-8169-4F3D-937E-3A01D92F64DC}" name="STY_Ac_mmolhg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7E72B-78E9-E041-A804-C81D5D780457}">
  <dimension ref="A1:BD376"/>
  <sheetViews>
    <sheetView tabSelected="1" topLeftCell="J356" zoomScale="115" zoomScaleNormal="115" workbookViewId="0">
      <selection activeCell="C371" sqref="C371"/>
    </sheetView>
  </sheetViews>
  <sheetFormatPr defaultColWidth="10.90625" defaultRowHeight="15.6"/>
  <cols>
    <col min="1" max="1" width="7" style="3" customWidth="1"/>
    <col min="2" max="19" width="25.81640625" style="3" customWidth="1"/>
    <col min="20" max="21" width="25.81640625" style="4" customWidth="1"/>
    <col min="22" max="23" width="25.81640625" style="3" customWidth="1"/>
    <col min="24" max="25" width="25.81640625" style="7" customWidth="1"/>
    <col min="26" max="27" width="25.81640625" style="3" customWidth="1"/>
    <col min="28" max="33" width="25.81640625" style="5" customWidth="1"/>
    <col min="34" max="37" width="25.81640625" style="6" customWidth="1"/>
    <col min="38" max="38" width="22.7265625" style="6" customWidth="1"/>
    <col min="39" max="39" width="27.7265625" style="3" customWidth="1"/>
    <col min="40" max="40" width="30.54296875" style="3" customWidth="1"/>
    <col min="41" max="41" width="31.26953125" style="8" customWidth="1"/>
    <col min="42" max="42" width="26.90625" style="8" customWidth="1"/>
    <col min="43" max="43" width="22.90625" style="9" customWidth="1"/>
    <col min="44" max="44" width="18.36328125" style="9" customWidth="1"/>
    <col min="45" max="45" width="28.453125" style="9" customWidth="1"/>
    <col min="46" max="46" width="15.81640625" style="9" customWidth="1"/>
    <col min="47" max="47" width="23.54296875" style="3" customWidth="1"/>
    <col min="48" max="16384" width="10.90625" style="3"/>
  </cols>
  <sheetData>
    <row r="1" spans="1:56">
      <c r="A1" s="1" t="s">
        <v>364</v>
      </c>
      <c r="B1" s="1" t="s">
        <v>336</v>
      </c>
      <c r="C1" s="1" t="s">
        <v>325</v>
      </c>
      <c r="D1" s="1" t="s">
        <v>334</v>
      </c>
      <c r="E1" s="1" t="s">
        <v>339</v>
      </c>
      <c r="F1" s="1" t="s">
        <v>330</v>
      </c>
      <c r="G1" s="1" t="s">
        <v>335</v>
      </c>
      <c r="H1" s="1" t="s">
        <v>340</v>
      </c>
      <c r="I1" s="1" t="s">
        <v>297</v>
      </c>
      <c r="J1" s="1" t="s">
        <v>349</v>
      </c>
      <c r="K1" s="1" t="s">
        <v>350</v>
      </c>
      <c r="L1" s="1" t="s">
        <v>351</v>
      </c>
      <c r="M1" s="1" t="s">
        <v>298</v>
      </c>
      <c r="N1" s="1" t="s">
        <v>352</v>
      </c>
      <c r="O1" s="1" t="s">
        <v>353</v>
      </c>
      <c r="P1" s="1" t="s">
        <v>354</v>
      </c>
      <c r="Q1" s="1" t="s">
        <v>299</v>
      </c>
      <c r="R1" s="1" t="s">
        <v>355</v>
      </c>
      <c r="S1" s="1" t="s">
        <v>356</v>
      </c>
      <c r="T1" s="1" t="s">
        <v>357</v>
      </c>
      <c r="U1" s="1" t="s">
        <v>300</v>
      </c>
      <c r="V1" s="1" t="s">
        <v>358</v>
      </c>
      <c r="W1" s="1" t="s">
        <v>359</v>
      </c>
      <c r="X1" s="1" t="s">
        <v>360</v>
      </c>
      <c r="Y1" s="1" t="s">
        <v>362</v>
      </c>
      <c r="Z1" s="1" t="s">
        <v>363</v>
      </c>
      <c r="AA1" s="1" t="s">
        <v>2</v>
      </c>
      <c r="AB1" s="1" t="s">
        <v>310</v>
      </c>
      <c r="AC1" s="1" t="s">
        <v>309</v>
      </c>
      <c r="AD1" s="1" t="s">
        <v>301</v>
      </c>
      <c r="AE1" s="1" t="s">
        <v>302</v>
      </c>
      <c r="AF1" s="1" t="s">
        <v>51</v>
      </c>
      <c r="AG1" s="1" t="s">
        <v>303</v>
      </c>
      <c r="AH1" s="1" t="s">
        <v>304</v>
      </c>
      <c r="AI1" s="1" t="s">
        <v>305</v>
      </c>
      <c r="AJ1" s="1" t="s">
        <v>306</v>
      </c>
      <c r="AK1" s="1" t="s">
        <v>307</v>
      </c>
      <c r="AL1" s="1" t="s">
        <v>308</v>
      </c>
      <c r="AM1" s="1" t="s">
        <v>312</v>
      </c>
      <c r="AN1" s="1" t="s">
        <v>313</v>
      </c>
      <c r="AO1" s="1" t="s">
        <v>314</v>
      </c>
      <c r="AP1" s="1" t="s">
        <v>315</v>
      </c>
      <c r="AQ1" s="1" t="s">
        <v>316</v>
      </c>
      <c r="AR1" s="1" t="s">
        <v>317</v>
      </c>
      <c r="AS1" s="1" t="s">
        <v>361</v>
      </c>
      <c r="AT1" s="1" t="s">
        <v>318</v>
      </c>
      <c r="AU1" s="1" t="s">
        <v>212</v>
      </c>
      <c r="AV1" s="1" t="s">
        <v>15</v>
      </c>
      <c r="AW1" s="2" t="s">
        <v>100</v>
      </c>
      <c r="AX1" s="2" t="s">
        <v>106</v>
      </c>
      <c r="AY1" s="2" t="s">
        <v>319</v>
      </c>
      <c r="AZ1" s="2" t="s">
        <v>320</v>
      </c>
      <c r="BA1" s="33" t="s">
        <v>321</v>
      </c>
      <c r="BB1" s="34" t="s">
        <v>322</v>
      </c>
      <c r="BC1" s="34" t="s">
        <v>323</v>
      </c>
      <c r="BD1" s="34" t="s">
        <v>324</v>
      </c>
    </row>
    <row r="2" spans="1:56" s="18" customFormat="1" ht="18" customHeight="1">
      <c r="A2" s="10">
        <v>1</v>
      </c>
      <c r="B2" s="13">
        <v>0</v>
      </c>
      <c r="C2" s="10"/>
      <c r="D2" s="10"/>
      <c r="E2" s="27"/>
      <c r="F2" s="10"/>
      <c r="G2" s="10"/>
      <c r="H2" s="27"/>
      <c r="I2" s="10" t="s">
        <v>205</v>
      </c>
      <c r="J2" s="10">
        <v>1</v>
      </c>
      <c r="K2" s="10"/>
      <c r="L2" s="10"/>
      <c r="M2" s="10" t="s">
        <v>7</v>
      </c>
      <c r="N2" s="10">
        <v>1.06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50">
        <v>23</v>
      </c>
      <c r="Z2" s="50"/>
      <c r="AA2" s="10" t="s">
        <v>57</v>
      </c>
      <c r="AB2" s="10">
        <v>1</v>
      </c>
      <c r="AC2" s="20">
        <v>0</v>
      </c>
      <c r="AD2" s="10" t="s">
        <v>43</v>
      </c>
      <c r="AE2" s="10" t="s">
        <v>210</v>
      </c>
      <c r="AF2" s="10" t="s">
        <v>95</v>
      </c>
      <c r="AG2" s="10">
        <v>2.5</v>
      </c>
      <c r="AH2" s="10">
        <v>0</v>
      </c>
      <c r="AI2" s="27"/>
      <c r="AJ2" s="27"/>
      <c r="AK2" s="10">
        <v>1</v>
      </c>
      <c r="AL2" s="10">
        <v>648</v>
      </c>
      <c r="AM2" s="19"/>
      <c r="AN2" s="19"/>
      <c r="AO2" s="19"/>
      <c r="AP2" s="19"/>
      <c r="AQ2" s="14">
        <f>Table1[[#This Row],[Y_Acryl_Fa]]/Table1[[#This Row],[Ratio_Ac_Fa]]</f>
        <v>0.32799999999999996</v>
      </c>
      <c r="AR2" s="19">
        <v>0.82</v>
      </c>
      <c r="AS2" s="28">
        <f t="shared" ref="AS2:AS21" si="0">AVERAGE(BC2:BD2)</f>
        <v>0.50102000000000002</v>
      </c>
      <c r="AT2" s="16"/>
      <c r="AU2" s="11" t="s">
        <v>118</v>
      </c>
      <c r="AV2" s="49"/>
      <c r="AW2" s="10" t="s">
        <v>119</v>
      </c>
      <c r="AX2" s="10">
        <v>1987</v>
      </c>
      <c r="AY2" s="10">
        <v>20</v>
      </c>
      <c r="AZ2" s="10"/>
      <c r="BA2" s="20">
        <f>12.2/60</f>
        <v>0.20333333333333331</v>
      </c>
      <c r="BB2" s="20">
        <f>30.6/60</f>
        <v>0.51</v>
      </c>
      <c r="BC2" s="20">
        <f>BA2*60*AR2/AY2</f>
        <v>0.50019999999999998</v>
      </c>
      <c r="BD2" s="20">
        <f>BB2*60*AQ2/AY2</f>
        <v>0.50183999999999995</v>
      </c>
    </row>
    <row r="3" spans="1:56" s="18" customFormat="1" ht="18" customHeight="1">
      <c r="A3" s="10">
        <v>2</v>
      </c>
      <c r="B3" s="13">
        <v>0</v>
      </c>
      <c r="C3" s="10"/>
      <c r="D3" s="10"/>
      <c r="E3" s="27"/>
      <c r="F3" s="10"/>
      <c r="G3" s="10"/>
      <c r="H3" s="27"/>
      <c r="I3" s="10" t="s">
        <v>205</v>
      </c>
      <c r="J3" s="10">
        <v>1</v>
      </c>
      <c r="K3" s="10"/>
      <c r="L3" s="10"/>
      <c r="M3" s="10" t="s">
        <v>7</v>
      </c>
      <c r="N3" s="10">
        <v>1.06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50">
        <v>23</v>
      </c>
      <c r="Z3" s="50"/>
      <c r="AA3" s="10" t="s">
        <v>57</v>
      </c>
      <c r="AB3" s="10">
        <v>1</v>
      </c>
      <c r="AC3" s="20">
        <v>0</v>
      </c>
      <c r="AD3" s="10" t="s">
        <v>43</v>
      </c>
      <c r="AE3" s="10" t="s">
        <v>210</v>
      </c>
      <c r="AF3" s="10" t="s">
        <v>95</v>
      </c>
      <c r="AG3" s="10">
        <v>2.5</v>
      </c>
      <c r="AH3" s="10">
        <v>0</v>
      </c>
      <c r="AI3" s="27"/>
      <c r="AJ3" s="27"/>
      <c r="AK3" s="10">
        <v>1</v>
      </c>
      <c r="AL3" s="10">
        <v>623</v>
      </c>
      <c r="AM3" s="19"/>
      <c r="AN3" s="19"/>
      <c r="AO3" s="19"/>
      <c r="AP3" s="19"/>
      <c r="AQ3" s="14">
        <f>Table1[[#This Row],[Y_Acryl_Fa]]/Table1[[#This Row],[Ratio_Ac_Fa]]</f>
        <v>0.30520000000000003</v>
      </c>
      <c r="AR3" s="19">
        <v>0.76300000000000001</v>
      </c>
      <c r="AS3" s="28">
        <f t="shared" si="0"/>
        <v>0.46619300000000002</v>
      </c>
      <c r="AT3" s="16"/>
      <c r="AU3" s="11" t="s">
        <v>118</v>
      </c>
      <c r="AV3" s="17"/>
      <c r="AW3" s="10" t="s">
        <v>119</v>
      </c>
      <c r="AX3" s="10">
        <v>1987</v>
      </c>
      <c r="AY3" s="10">
        <v>20</v>
      </c>
      <c r="AZ3" s="10"/>
      <c r="BA3" s="20">
        <f>12.2/60</f>
        <v>0.20333333333333331</v>
      </c>
      <c r="BB3" s="20">
        <f>30.6/60</f>
        <v>0.51</v>
      </c>
      <c r="BC3" s="20">
        <f>BA3*60*AR3/AY3</f>
        <v>0.46543000000000001</v>
      </c>
      <c r="BD3" s="20">
        <f>BB3*60*AQ3/AY3</f>
        <v>0.46695600000000004</v>
      </c>
    </row>
    <row r="4" spans="1:56" s="18" customFormat="1" ht="18" customHeight="1">
      <c r="A4" s="10">
        <v>3</v>
      </c>
      <c r="B4" s="13">
        <v>0</v>
      </c>
      <c r="C4" s="10"/>
      <c r="D4" s="10"/>
      <c r="E4" s="27"/>
      <c r="F4" s="10"/>
      <c r="G4" s="10"/>
      <c r="H4" s="27"/>
      <c r="I4" s="10" t="s">
        <v>205</v>
      </c>
      <c r="J4" s="10">
        <v>1</v>
      </c>
      <c r="K4" s="10"/>
      <c r="L4" s="10"/>
      <c r="M4" s="10" t="s">
        <v>7</v>
      </c>
      <c r="N4" s="10">
        <v>1.06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50">
        <v>23</v>
      </c>
      <c r="Z4" s="50"/>
      <c r="AA4" s="10" t="s">
        <v>57</v>
      </c>
      <c r="AB4" s="10">
        <v>1</v>
      </c>
      <c r="AC4" s="20">
        <v>0</v>
      </c>
      <c r="AD4" s="10" t="s">
        <v>44</v>
      </c>
      <c r="AE4" s="10" t="s">
        <v>210</v>
      </c>
      <c r="AF4" s="10" t="s">
        <v>95</v>
      </c>
      <c r="AG4" s="32">
        <f>21.9/12</f>
        <v>1.825</v>
      </c>
      <c r="AH4" s="10">
        <v>0</v>
      </c>
      <c r="AI4" s="27"/>
      <c r="AJ4" s="27"/>
      <c r="AK4" s="10">
        <v>1</v>
      </c>
      <c r="AL4" s="10">
        <v>653</v>
      </c>
      <c r="AM4" s="19"/>
      <c r="AN4" s="19"/>
      <c r="AO4" s="19"/>
      <c r="AP4" s="19"/>
      <c r="AQ4" s="14">
        <f>Table1[[#This Row],[Y_Acryl_Fa]]/Table1[[#This Row],[Ratio_Ac_Fa]]</f>
        <v>0.16383561643835617</v>
      </c>
      <c r="AR4" s="19">
        <v>0.29899999999999999</v>
      </c>
      <c r="AS4" s="28">
        <f t="shared" si="0"/>
        <v>0.1794</v>
      </c>
      <c r="AT4" s="16"/>
      <c r="AU4" s="11" t="s">
        <v>118</v>
      </c>
      <c r="AV4" s="17"/>
      <c r="AW4" s="10" t="s">
        <v>119</v>
      </c>
      <c r="AX4" s="10">
        <v>1987</v>
      </c>
      <c r="AY4" s="10">
        <v>20</v>
      </c>
      <c r="AZ4" s="10"/>
      <c r="BA4" s="20">
        <f>12/60</f>
        <v>0.2</v>
      </c>
      <c r="BB4" s="20">
        <f>21.9/60</f>
        <v>0.36499999999999999</v>
      </c>
      <c r="BC4" s="20">
        <f>BA4*60*AR4/AY4</f>
        <v>0.1794</v>
      </c>
      <c r="BD4" s="20">
        <f>BB4*60*AQ4/AY4</f>
        <v>0.1794</v>
      </c>
    </row>
    <row r="5" spans="1:56" s="18" customFormat="1" ht="18" customHeight="1">
      <c r="A5" s="10">
        <v>4</v>
      </c>
      <c r="B5" s="13">
        <v>0</v>
      </c>
      <c r="C5" s="10"/>
      <c r="D5" s="10"/>
      <c r="E5" s="27"/>
      <c r="F5" s="10"/>
      <c r="G5" s="10"/>
      <c r="H5" s="27"/>
      <c r="I5" s="10" t="s">
        <v>205</v>
      </c>
      <c r="J5" s="10">
        <v>1</v>
      </c>
      <c r="K5" s="10"/>
      <c r="L5" s="10"/>
      <c r="M5" s="10" t="s">
        <v>7</v>
      </c>
      <c r="N5" s="10">
        <v>1.06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50">
        <v>23</v>
      </c>
      <c r="Z5" s="51"/>
      <c r="AA5" s="11" t="s">
        <v>57</v>
      </c>
      <c r="AB5" s="10">
        <v>1</v>
      </c>
      <c r="AC5" s="20">
        <v>0</v>
      </c>
      <c r="AD5" s="11" t="s">
        <v>43</v>
      </c>
      <c r="AE5" s="11" t="s">
        <v>211</v>
      </c>
      <c r="AF5" s="10" t="s">
        <v>95</v>
      </c>
      <c r="AG5" s="36">
        <f>38/17</f>
        <v>2.2352941176470589</v>
      </c>
      <c r="AH5" s="10">
        <v>0</v>
      </c>
      <c r="AI5" s="13"/>
      <c r="AJ5" s="13"/>
      <c r="AK5" s="11">
        <v>1</v>
      </c>
      <c r="AL5" s="11">
        <v>593</v>
      </c>
      <c r="AM5" s="14"/>
      <c r="AN5" s="14"/>
      <c r="AO5" s="14"/>
      <c r="AP5" s="14"/>
      <c r="AQ5" s="14">
        <f>Table1[[#This Row],[Y_Acryl_Fa]]/Table1[[#This Row],[Ratio_Ac_Fa]]</f>
        <v>0.43842105263157893</v>
      </c>
      <c r="AR5" s="14">
        <v>0.98</v>
      </c>
      <c r="AS5" s="28">
        <f t="shared" si="0"/>
        <v>0.83299999999999996</v>
      </c>
      <c r="AT5" s="16"/>
      <c r="AU5" s="11" t="s">
        <v>118</v>
      </c>
      <c r="AV5" s="17" t="s">
        <v>122</v>
      </c>
      <c r="AW5" s="10" t="s">
        <v>119</v>
      </c>
      <c r="AX5" s="10">
        <v>1987</v>
      </c>
      <c r="AY5" s="10">
        <v>20</v>
      </c>
      <c r="AZ5" s="10"/>
      <c r="BA5" s="20">
        <f>17/60</f>
        <v>0.28333333333333333</v>
      </c>
      <c r="BB5" s="20">
        <f>38/60</f>
        <v>0.6333333333333333</v>
      </c>
      <c r="BC5" s="20">
        <f>BA5*60*AR5/AY5</f>
        <v>0.83299999999999996</v>
      </c>
      <c r="BD5" s="20">
        <f>BB5*60*AQ5/AY5</f>
        <v>0.83299999999999996</v>
      </c>
    </row>
    <row r="6" spans="1:56" s="18" customFormat="1" ht="18" customHeight="1">
      <c r="A6" s="10">
        <v>5</v>
      </c>
      <c r="B6" s="13">
        <v>0</v>
      </c>
      <c r="C6" s="10"/>
      <c r="D6" s="10"/>
      <c r="E6" s="27"/>
      <c r="F6" s="10"/>
      <c r="G6" s="10"/>
      <c r="H6" s="27"/>
      <c r="I6" s="10" t="s">
        <v>205</v>
      </c>
      <c r="J6" s="10">
        <v>1</v>
      </c>
      <c r="K6" s="10"/>
      <c r="L6" s="10"/>
      <c r="M6" s="10" t="s">
        <v>7</v>
      </c>
      <c r="N6" s="10">
        <v>1.06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50">
        <v>23</v>
      </c>
      <c r="Z6" s="51"/>
      <c r="AA6" s="11" t="s">
        <v>57</v>
      </c>
      <c r="AB6" s="10">
        <v>1</v>
      </c>
      <c r="AC6" s="20">
        <v>0</v>
      </c>
      <c r="AD6" s="11" t="s">
        <v>43</v>
      </c>
      <c r="AE6" s="11" t="s">
        <v>211</v>
      </c>
      <c r="AF6" s="10" t="s">
        <v>95</v>
      </c>
      <c r="AG6" s="36">
        <f>38/17</f>
        <v>2.2352941176470589</v>
      </c>
      <c r="AH6" s="10">
        <v>0</v>
      </c>
      <c r="AI6" s="13"/>
      <c r="AJ6" s="13"/>
      <c r="AK6" s="11">
        <v>1</v>
      </c>
      <c r="AL6" s="11">
        <v>593</v>
      </c>
      <c r="AM6" s="14"/>
      <c r="AN6" s="14"/>
      <c r="AO6" s="14"/>
      <c r="AP6" s="14"/>
      <c r="AQ6" s="14">
        <f>Table1[[#This Row],[Y_Acryl_Fa]]/Table1[[#This Row],[Ratio_Ac_Fa]]</f>
        <v>0.40665789473684211</v>
      </c>
      <c r="AR6" s="14">
        <v>0.90900000000000003</v>
      </c>
      <c r="AS6" s="28">
        <f t="shared" si="0"/>
        <v>0.77265000000000006</v>
      </c>
      <c r="AT6" s="16"/>
      <c r="AU6" s="11" t="s">
        <v>118</v>
      </c>
      <c r="AV6" s="17" t="s">
        <v>122</v>
      </c>
      <c r="AW6" s="10" t="s">
        <v>119</v>
      </c>
      <c r="AX6" s="10">
        <v>1987</v>
      </c>
      <c r="AY6" s="10">
        <v>20</v>
      </c>
      <c r="AZ6" s="10"/>
      <c r="BA6" s="20">
        <f>17/60</f>
        <v>0.28333333333333333</v>
      </c>
      <c r="BB6" s="20">
        <f>38/60</f>
        <v>0.6333333333333333</v>
      </c>
      <c r="BC6" s="20">
        <f>BA6*60*AR6/AY6</f>
        <v>0.77265000000000006</v>
      </c>
      <c r="BD6" s="20">
        <f>BB6*60*AQ6/AY6</f>
        <v>0.77264999999999995</v>
      </c>
    </row>
    <row r="7" spans="1:56" s="18" customFormat="1" ht="18" customHeight="1">
      <c r="A7" s="10">
        <v>6</v>
      </c>
      <c r="B7" s="13">
        <v>0</v>
      </c>
      <c r="C7" s="10"/>
      <c r="D7" s="10"/>
      <c r="E7" s="27"/>
      <c r="F7" s="10"/>
      <c r="G7" s="10"/>
      <c r="H7" s="27"/>
      <c r="I7" s="10" t="s">
        <v>205</v>
      </c>
      <c r="J7" s="10">
        <v>1</v>
      </c>
      <c r="K7" s="10"/>
      <c r="L7" s="10"/>
      <c r="M7" s="10" t="s">
        <v>7</v>
      </c>
      <c r="N7" s="10">
        <v>1.06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50">
        <v>23</v>
      </c>
      <c r="Z7" s="51"/>
      <c r="AA7" s="11" t="s">
        <v>57</v>
      </c>
      <c r="AB7" s="10">
        <v>1</v>
      </c>
      <c r="AC7" s="20">
        <v>0</v>
      </c>
      <c r="AD7" s="10" t="s">
        <v>44</v>
      </c>
      <c r="AE7" s="11" t="s">
        <v>211</v>
      </c>
      <c r="AF7" s="10" t="s">
        <v>95</v>
      </c>
      <c r="AG7" s="36">
        <f>27.2/15</f>
        <v>1.8133333333333332</v>
      </c>
      <c r="AH7" s="10">
        <v>0</v>
      </c>
      <c r="AI7" s="13"/>
      <c r="AJ7" s="13"/>
      <c r="AK7" s="11">
        <v>1</v>
      </c>
      <c r="AL7" s="11">
        <v>653</v>
      </c>
      <c r="AM7" s="14"/>
      <c r="AN7" s="14"/>
      <c r="AO7" s="14"/>
      <c r="AP7" s="14"/>
      <c r="AQ7" s="14">
        <f>Table1[[#This Row],[Y_Acryl_Fa]]/Table1[[#This Row],[Ratio_Ac_Fa]]</f>
        <v>0.19963235294117648</v>
      </c>
      <c r="AR7" s="14">
        <v>0.36199999999999999</v>
      </c>
      <c r="AS7" s="28">
        <f t="shared" si="0"/>
        <v>0.27149999999999996</v>
      </c>
      <c r="AT7" s="16"/>
      <c r="AU7" s="11" t="s">
        <v>118</v>
      </c>
      <c r="AV7" s="17"/>
      <c r="AW7" s="10" t="s">
        <v>119</v>
      </c>
      <c r="AX7" s="10">
        <v>1987</v>
      </c>
      <c r="AY7" s="10">
        <v>20</v>
      </c>
      <c r="AZ7" s="10"/>
      <c r="BA7" s="20">
        <f>15/60</f>
        <v>0.25</v>
      </c>
      <c r="BB7" s="20">
        <f>27.2/60</f>
        <v>0.45333333333333331</v>
      </c>
      <c r="BC7" s="20">
        <f>BA7*60*AR7/AY7</f>
        <v>0.27149999999999996</v>
      </c>
      <c r="BD7" s="20">
        <f>BB7*60*AQ7/AY7</f>
        <v>0.27150000000000002</v>
      </c>
    </row>
    <row r="8" spans="1:56" s="18" customFormat="1" ht="18" customHeight="1">
      <c r="A8" s="10">
        <v>7</v>
      </c>
      <c r="B8" s="13">
        <v>0</v>
      </c>
      <c r="C8" s="10"/>
      <c r="D8" s="10"/>
      <c r="E8" s="27"/>
      <c r="F8" s="10"/>
      <c r="G8" s="10"/>
      <c r="H8" s="27"/>
      <c r="I8" s="10" t="s">
        <v>205</v>
      </c>
      <c r="J8" s="10">
        <v>1</v>
      </c>
      <c r="K8" s="10"/>
      <c r="L8" s="10"/>
      <c r="M8" s="10" t="s">
        <v>7</v>
      </c>
      <c r="N8" s="10">
        <v>1.3</v>
      </c>
      <c r="O8" s="10"/>
      <c r="P8" s="10"/>
      <c r="Q8" s="10" t="s">
        <v>41</v>
      </c>
      <c r="R8" s="10">
        <v>0.1</v>
      </c>
      <c r="S8" s="10"/>
      <c r="T8" s="10"/>
      <c r="U8" s="10"/>
      <c r="V8" s="10"/>
      <c r="W8" s="10"/>
      <c r="X8" s="10"/>
      <c r="Y8" s="50">
        <v>23</v>
      </c>
      <c r="Z8" s="50"/>
      <c r="AA8" s="10" t="s">
        <v>57</v>
      </c>
      <c r="AB8" s="10">
        <v>1</v>
      </c>
      <c r="AC8" s="20">
        <v>0</v>
      </c>
      <c r="AD8" s="11" t="s">
        <v>43</v>
      </c>
      <c r="AE8" s="11" t="s">
        <v>211</v>
      </c>
      <c r="AF8" s="10" t="s">
        <v>95</v>
      </c>
      <c r="AG8" s="36">
        <f>38/17</f>
        <v>2.2352941176470589</v>
      </c>
      <c r="AH8" s="10">
        <v>0</v>
      </c>
      <c r="AI8" s="13"/>
      <c r="AJ8" s="13"/>
      <c r="AK8" s="11">
        <v>1</v>
      </c>
      <c r="AL8" s="11">
        <v>593</v>
      </c>
      <c r="AM8" s="19"/>
      <c r="AN8" s="19"/>
      <c r="AO8" s="19"/>
      <c r="AP8" s="19"/>
      <c r="AQ8" s="14">
        <f>Table1[[#This Row],[Y_Acryl_Fa]]/Table1[[#This Row],[Ratio_Ac_Fa]]</f>
        <v>0.33552631578947367</v>
      </c>
      <c r="AR8" s="19">
        <v>0.75</v>
      </c>
      <c r="AS8" s="28">
        <f t="shared" si="0"/>
        <v>0.63749999999999996</v>
      </c>
      <c r="AT8" s="16"/>
      <c r="AU8" s="11" t="s">
        <v>118</v>
      </c>
      <c r="AV8" s="17" t="s">
        <v>122</v>
      </c>
      <c r="AW8" s="10" t="s">
        <v>119</v>
      </c>
      <c r="AX8" s="10">
        <v>1987</v>
      </c>
      <c r="AY8" s="10">
        <v>20</v>
      </c>
      <c r="AZ8" s="10"/>
      <c r="BA8" s="20">
        <f>17/60</f>
        <v>0.28333333333333333</v>
      </c>
      <c r="BB8" s="20">
        <f>38/60</f>
        <v>0.6333333333333333</v>
      </c>
      <c r="BC8" s="20">
        <f>BA8*60*AR8/AY8</f>
        <v>0.63749999999999996</v>
      </c>
      <c r="BD8" s="20">
        <f>BB8*60*AQ8/AY8</f>
        <v>0.63749999999999996</v>
      </c>
    </row>
    <row r="9" spans="1:56" s="18" customFormat="1" ht="18" customHeight="1">
      <c r="A9" s="10">
        <v>8</v>
      </c>
      <c r="B9" s="13">
        <v>0</v>
      </c>
      <c r="C9" s="10"/>
      <c r="D9" s="10"/>
      <c r="E9" s="27"/>
      <c r="F9" s="10"/>
      <c r="G9" s="10"/>
      <c r="H9" s="27"/>
      <c r="I9" s="10" t="s">
        <v>205</v>
      </c>
      <c r="J9" s="10">
        <v>1</v>
      </c>
      <c r="K9" s="10"/>
      <c r="L9" s="10"/>
      <c r="M9" s="10" t="s">
        <v>7</v>
      </c>
      <c r="N9" s="10">
        <v>1.3</v>
      </c>
      <c r="O9" s="10"/>
      <c r="P9" s="10"/>
      <c r="Q9" s="10" t="s">
        <v>114</v>
      </c>
      <c r="R9" s="10">
        <v>0.1</v>
      </c>
      <c r="S9" s="10"/>
      <c r="T9" s="10"/>
      <c r="U9" s="10"/>
      <c r="V9" s="10"/>
      <c r="W9" s="10"/>
      <c r="X9" s="10"/>
      <c r="Y9" s="50">
        <v>23</v>
      </c>
      <c r="Z9" s="50"/>
      <c r="AA9" s="10" t="s">
        <v>57</v>
      </c>
      <c r="AB9" s="10">
        <v>1</v>
      </c>
      <c r="AC9" s="20">
        <v>0</v>
      </c>
      <c r="AD9" s="11" t="s">
        <v>43</v>
      </c>
      <c r="AE9" s="11" t="s">
        <v>211</v>
      </c>
      <c r="AF9" s="10" t="s">
        <v>95</v>
      </c>
      <c r="AG9" s="36">
        <f>38/17</f>
        <v>2.2352941176470589</v>
      </c>
      <c r="AH9" s="10">
        <v>0</v>
      </c>
      <c r="AI9" s="13"/>
      <c r="AJ9" s="13"/>
      <c r="AK9" s="11">
        <v>1</v>
      </c>
      <c r="AL9" s="11">
        <v>593</v>
      </c>
      <c r="AM9" s="19"/>
      <c r="AN9" s="19"/>
      <c r="AO9" s="19"/>
      <c r="AP9" s="19"/>
      <c r="AQ9" s="14">
        <f>Table1[[#This Row],[Y_Acryl_Fa]]/Table1[[#This Row],[Ratio_Ac_Fa]]</f>
        <v>0.31763157894736838</v>
      </c>
      <c r="AR9" s="19">
        <v>0.71</v>
      </c>
      <c r="AS9" s="28">
        <f t="shared" si="0"/>
        <v>0.60349999999999993</v>
      </c>
      <c r="AT9" s="16"/>
      <c r="AU9" s="11" t="s">
        <v>118</v>
      </c>
      <c r="AV9" s="17" t="s">
        <v>122</v>
      </c>
      <c r="AW9" s="10" t="s">
        <v>119</v>
      </c>
      <c r="AX9" s="10">
        <v>1987</v>
      </c>
      <c r="AY9" s="10">
        <v>20</v>
      </c>
      <c r="AZ9" s="10"/>
      <c r="BA9" s="20">
        <f>17/60</f>
        <v>0.28333333333333333</v>
      </c>
      <c r="BB9" s="20">
        <f>38/60</f>
        <v>0.6333333333333333</v>
      </c>
      <c r="BC9" s="20">
        <f>BA9*60*AR9/AY9</f>
        <v>0.60350000000000004</v>
      </c>
      <c r="BD9" s="20">
        <f>BB9*60*AQ9/AY9</f>
        <v>0.60349999999999993</v>
      </c>
    </row>
    <row r="10" spans="1:56" s="18" customFormat="1" ht="18" customHeight="1">
      <c r="A10" s="10">
        <v>9</v>
      </c>
      <c r="B10" s="13">
        <v>0</v>
      </c>
      <c r="C10" s="10"/>
      <c r="D10" s="10"/>
      <c r="E10" s="27"/>
      <c r="F10" s="10"/>
      <c r="G10" s="10"/>
      <c r="H10" s="27"/>
      <c r="I10" s="10" t="s">
        <v>205</v>
      </c>
      <c r="J10" s="10">
        <v>1</v>
      </c>
      <c r="K10" s="10"/>
      <c r="L10" s="10"/>
      <c r="M10" s="10" t="s">
        <v>7</v>
      </c>
      <c r="N10" s="10">
        <v>1.1000000000000001</v>
      </c>
      <c r="O10" s="10"/>
      <c r="P10" s="10"/>
      <c r="Q10" s="10" t="s">
        <v>104</v>
      </c>
      <c r="R10" s="10">
        <v>0.1</v>
      </c>
      <c r="S10" s="10"/>
      <c r="T10" s="10"/>
      <c r="U10" s="10"/>
      <c r="V10" s="10"/>
      <c r="W10" s="10"/>
      <c r="X10" s="10"/>
      <c r="Y10" s="50">
        <v>23</v>
      </c>
      <c r="Z10" s="50"/>
      <c r="AA10" s="10" t="s">
        <v>57</v>
      </c>
      <c r="AB10" s="10">
        <v>1</v>
      </c>
      <c r="AC10" s="20">
        <v>0</v>
      </c>
      <c r="AD10" s="11" t="s">
        <v>43</v>
      </c>
      <c r="AE10" s="11" t="s">
        <v>211</v>
      </c>
      <c r="AF10" s="10" t="s">
        <v>95</v>
      </c>
      <c r="AG10" s="36">
        <f>38/17</f>
        <v>2.2352941176470589</v>
      </c>
      <c r="AH10" s="10">
        <v>0</v>
      </c>
      <c r="AI10" s="13"/>
      <c r="AJ10" s="13"/>
      <c r="AK10" s="11">
        <v>1</v>
      </c>
      <c r="AL10" s="11">
        <v>593</v>
      </c>
      <c r="AM10" s="19"/>
      <c r="AN10" s="19"/>
      <c r="AO10" s="19"/>
      <c r="AP10" s="19"/>
      <c r="AQ10" s="14">
        <f>Table1[[#This Row],[Y_Acryl_Fa]]/Table1[[#This Row],[Ratio_Ac_Fa]]</f>
        <v>0.37131578947368421</v>
      </c>
      <c r="AR10" s="19">
        <v>0.83</v>
      </c>
      <c r="AS10" s="28">
        <f t="shared" si="0"/>
        <v>0.70550000000000002</v>
      </c>
      <c r="AT10" s="16"/>
      <c r="AU10" s="11" t="s">
        <v>118</v>
      </c>
      <c r="AV10" s="17" t="s">
        <v>122</v>
      </c>
      <c r="AW10" s="10" t="s">
        <v>119</v>
      </c>
      <c r="AX10" s="10">
        <v>1987</v>
      </c>
      <c r="AY10" s="10">
        <v>20</v>
      </c>
      <c r="AZ10" s="10"/>
      <c r="BA10" s="20">
        <f>17/60</f>
        <v>0.28333333333333333</v>
      </c>
      <c r="BB10" s="20">
        <f>38/60</f>
        <v>0.6333333333333333</v>
      </c>
      <c r="BC10" s="20">
        <f>BA10*60*AR10/AY10</f>
        <v>0.70550000000000002</v>
      </c>
      <c r="BD10" s="20">
        <f>BB10*60*AQ10/AY10</f>
        <v>0.70550000000000002</v>
      </c>
    </row>
    <row r="11" spans="1:56" s="18" customFormat="1" ht="18" customHeight="1">
      <c r="A11" s="10">
        <v>10</v>
      </c>
      <c r="B11" s="13">
        <v>0</v>
      </c>
      <c r="C11" s="10"/>
      <c r="D11" s="10"/>
      <c r="E11" s="27"/>
      <c r="F11" s="10"/>
      <c r="G11" s="10"/>
      <c r="H11" s="27"/>
      <c r="I11" s="10" t="s">
        <v>205</v>
      </c>
      <c r="J11" s="10">
        <v>1</v>
      </c>
      <c r="K11" s="10"/>
      <c r="L11" s="10"/>
      <c r="M11" s="10" t="s">
        <v>7</v>
      </c>
      <c r="N11" s="10">
        <v>1.2</v>
      </c>
      <c r="O11" s="10"/>
      <c r="P11" s="10"/>
      <c r="Q11" s="10" t="s">
        <v>123</v>
      </c>
      <c r="R11" s="10">
        <v>0.15</v>
      </c>
      <c r="S11" s="10"/>
      <c r="T11" s="10"/>
      <c r="U11" s="10"/>
      <c r="V11" s="10"/>
      <c r="W11" s="10"/>
      <c r="X11" s="10"/>
      <c r="Y11" s="50">
        <v>23</v>
      </c>
      <c r="Z11" s="50"/>
      <c r="AA11" s="10" t="s">
        <v>57</v>
      </c>
      <c r="AB11" s="10">
        <v>1</v>
      </c>
      <c r="AC11" s="20">
        <v>0</v>
      </c>
      <c r="AD11" s="11" t="s">
        <v>43</v>
      </c>
      <c r="AE11" s="11" t="s">
        <v>211</v>
      </c>
      <c r="AF11" s="10" t="s">
        <v>95</v>
      </c>
      <c r="AG11" s="36">
        <f>38/17</f>
        <v>2.2352941176470589</v>
      </c>
      <c r="AH11" s="10">
        <v>0</v>
      </c>
      <c r="AI11" s="13"/>
      <c r="AJ11" s="13"/>
      <c r="AK11" s="11">
        <v>1</v>
      </c>
      <c r="AL11" s="11">
        <v>593</v>
      </c>
      <c r="AM11" s="19"/>
      <c r="AN11" s="19"/>
      <c r="AO11" s="19"/>
      <c r="AP11" s="19"/>
      <c r="AQ11" s="14">
        <f>Table1[[#This Row],[Y_Acryl_Fa]]/Table1[[#This Row],[Ratio_Ac_Fa]]</f>
        <v>0.1968421052631579</v>
      </c>
      <c r="AR11" s="19">
        <v>0.44</v>
      </c>
      <c r="AS11" s="28">
        <f t="shared" si="0"/>
        <v>0.374</v>
      </c>
      <c r="AT11" s="16"/>
      <c r="AU11" s="11" t="s">
        <v>118</v>
      </c>
      <c r="AV11" s="17" t="s">
        <v>122</v>
      </c>
      <c r="AW11" s="10" t="s">
        <v>119</v>
      </c>
      <c r="AX11" s="10">
        <v>1987</v>
      </c>
      <c r="AY11" s="10">
        <v>20</v>
      </c>
      <c r="AZ11" s="10"/>
      <c r="BA11" s="20">
        <f>17/60</f>
        <v>0.28333333333333333</v>
      </c>
      <c r="BB11" s="20">
        <f>38/60</f>
        <v>0.6333333333333333</v>
      </c>
      <c r="BC11" s="20">
        <f>BA11*60*AR11/AY11</f>
        <v>0.374</v>
      </c>
      <c r="BD11" s="20">
        <f>BB11*60*AQ11/AY11</f>
        <v>0.374</v>
      </c>
    </row>
    <row r="12" spans="1:56" s="18" customFormat="1" ht="18" customHeight="1">
      <c r="A12" s="10">
        <v>11</v>
      </c>
      <c r="B12" s="13">
        <v>0</v>
      </c>
      <c r="C12" s="10"/>
      <c r="D12" s="10"/>
      <c r="E12" s="27"/>
      <c r="F12" s="10"/>
      <c r="G12" s="10"/>
      <c r="H12" s="27"/>
      <c r="I12" s="10" t="s">
        <v>205</v>
      </c>
      <c r="J12" s="10">
        <v>1</v>
      </c>
      <c r="K12" s="10"/>
      <c r="L12" s="10"/>
      <c r="M12" s="10" t="s">
        <v>7</v>
      </c>
      <c r="N12" s="10">
        <v>5.5</v>
      </c>
      <c r="O12" s="10"/>
      <c r="P12" s="10"/>
      <c r="Q12" s="10" t="s">
        <v>11</v>
      </c>
      <c r="R12" s="10">
        <v>2</v>
      </c>
      <c r="S12" s="10"/>
      <c r="T12" s="10"/>
      <c r="U12" s="10"/>
      <c r="V12" s="10"/>
      <c r="W12" s="10"/>
      <c r="X12" s="32"/>
      <c r="Y12" s="50">
        <v>91</v>
      </c>
      <c r="Z12" s="50"/>
      <c r="AA12" s="10" t="s">
        <v>27</v>
      </c>
      <c r="AB12" s="10">
        <v>1</v>
      </c>
      <c r="AC12" s="20">
        <v>0</v>
      </c>
      <c r="AD12" s="11" t="s">
        <v>43</v>
      </c>
      <c r="AE12" s="11" t="s">
        <v>211</v>
      </c>
      <c r="AF12" s="10" t="s">
        <v>95</v>
      </c>
      <c r="AG12" s="32">
        <f>36.8/17.5</f>
        <v>2.1028571428571428</v>
      </c>
      <c r="AH12" s="10">
        <v>0</v>
      </c>
      <c r="AI12" s="27"/>
      <c r="AJ12" s="13"/>
      <c r="AK12" s="11">
        <v>1</v>
      </c>
      <c r="AL12" s="10">
        <v>573</v>
      </c>
      <c r="AM12" s="19"/>
      <c r="AN12" s="19"/>
      <c r="AO12" s="19"/>
      <c r="AP12" s="19"/>
      <c r="AQ12" s="14">
        <f>Table1[[#This Row],[Y_Acryl_Fa]]/Table1[[#This Row],[Ratio_Ac_Fa]]</f>
        <v>0.2686820652173913</v>
      </c>
      <c r="AR12" s="19">
        <v>0.56499999999999995</v>
      </c>
      <c r="AS12" s="28">
        <f t="shared" si="0"/>
        <v>5.9984166666666665</v>
      </c>
      <c r="AT12" s="16"/>
      <c r="AU12" s="10" t="s">
        <v>120</v>
      </c>
      <c r="AV12" s="30"/>
      <c r="AW12" s="10" t="s">
        <v>119</v>
      </c>
      <c r="AX12" s="10">
        <v>1989</v>
      </c>
      <c r="AY12" s="32">
        <f>150/91</f>
        <v>1.6483516483516483</v>
      </c>
      <c r="AZ12" s="32"/>
      <c r="BA12" s="20">
        <f t="shared" ref="BA12:BA21" si="1">17.5/60</f>
        <v>0.29166666666666669</v>
      </c>
      <c r="BB12" s="20">
        <f t="shared" ref="BB12:BB21" si="2">36.8/60</f>
        <v>0.61333333333333329</v>
      </c>
      <c r="BC12" s="20">
        <f>BA12*60*AR12/AY12</f>
        <v>5.9984166666666665</v>
      </c>
      <c r="BD12" s="20">
        <f>BB12*60*AQ12/AY12</f>
        <v>5.9984166666666665</v>
      </c>
    </row>
    <row r="13" spans="1:56" s="18" customFormat="1" ht="18" customHeight="1">
      <c r="A13" s="10">
        <v>12</v>
      </c>
      <c r="B13" s="13">
        <v>0</v>
      </c>
      <c r="C13" s="10"/>
      <c r="D13" s="10"/>
      <c r="E13" s="27"/>
      <c r="F13" s="10"/>
      <c r="G13" s="10"/>
      <c r="H13" s="27"/>
      <c r="I13" s="10" t="s">
        <v>205</v>
      </c>
      <c r="J13" s="10">
        <v>1</v>
      </c>
      <c r="K13" s="10"/>
      <c r="L13" s="10"/>
      <c r="M13" s="10" t="s">
        <v>7</v>
      </c>
      <c r="N13" s="10">
        <v>5.5</v>
      </c>
      <c r="O13" s="10"/>
      <c r="P13" s="10"/>
      <c r="Q13" s="10" t="s">
        <v>11</v>
      </c>
      <c r="R13" s="10">
        <v>2</v>
      </c>
      <c r="S13" s="10"/>
      <c r="T13" s="10"/>
      <c r="U13" s="10"/>
      <c r="V13" s="10"/>
      <c r="W13" s="10"/>
      <c r="X13" s="32"/>
      <c r="Y13" s="50">
        <v>77</v>
      </c>
      <c r="Z13" s="50"/>
      <c r="AA13" s="10" t="s">
        <v>27</v>
      </c>
      <c r="AB13" s="10">
        <v>1</v>
      </c>
      <c r="AC13" s="20">
        <v>0</v>
      </c>
      <c r="AD13" s="11" t="s">
        <v>43</v>
      </c>
      <c r="AE13" s="11" t="s">
        <v>211</v>
      </c>
      <c r="AF13" s="10" t="s">
        <v>95</v>
      </c>
      <c r="AG13" s="32">
        <f>36.8/17.5</f>
        <v>2.1028571428571428</v>
      </c>
      <c r="AH13" s="10">
        <v>0</v>
      </c>
      <c r="AI13" s="27"/>
      <c r="AJ13" s="13"/>
      <c r="AK13" s="11">
        <v>1</v>
      </c>
      <c r="AL13" s="10">
        <v>573</v>
      </c>
      <c r="AM13" s="19"/>
      <c r="AN13" s="19"/>
      <c r="AO13" s="19"/>
      <c r="AP13" s="19"/>
      <c r="AQ13" s="14">
        <f>Table1[[#This Row],[Y_Acryl_Fa]]/Table1[[#This Row],[Ratio_Ac_Fa]]</f>
        <v>0.30910326086956524</v>
      </c>
      <c r="AR13" s="19">
        <v>0.65</v>
      </c>
      <c r="AS13" s="28">
        <f t="shared" si="0"/>
        <v>5.8391666666666664</v>
      </c>
      <c r="AT13" s="16"/>
      <c r="AU13" s="10" t="s">
        <v>120</v>
      </c>
      <c r="AV13" s="30"/>
      <c r="AW13" s="10" t="s">
        <v>119</v>
      </c>
      <c r="AX13" s="10">
        <v>1989</v>
      </c>
      <c r="AY13" s="32">
        <f>150/77</f>
        <v>1.948051948051948</v>
      </c>
      <c r="AZ13" s="32"/>
      <c r="BA13" s="20">
        <f t="shared" si="1"/>
        <v>0.29166666666666669</v>
      </c>
      <c r="BB13" s="20">
        <f t="shared" si="2"/>
        <v>0.61333333333333329</v>
      </c>
      <c r="BC13" s="20">
        <f>BA13*60*AR13/AY13</f>
        <v>5.8391666666666664</v>
      </c>
      <c r="BD13" s="20">
        <f>BB13*60*AQ13/AY13</f>
        <v>5.8391666666666664</v>
      </c>
    </row>
    <row r="14" spans="1:56" s="18" customFormat="1" ht="18" customHeight="1">
      <c r="A14" s="10">
        <v>13</v>
      </c>
      <c r="B14" s="13">
        <v>0</v>
      </c>
      <c r="C14" s="10"/>
      <c r="D14" s="10"/>
      <c r="E14" s="27"/>
      <c r="F14" s="10"/>
      <c r="G14" s="10"/>
      <c r="H14" s="27"/>
      <c r="I14" s="10" t="s">
        <v>205</v>
      </c>
      <c r="J14" s="10">
        <v>1</v>
      </c>
      <c r="K14" s="10"/>
      <c r="L14" s="10"/>
      <c r="M14" s="10" t="s">
        <v>7</v>
      </c>
      <c r="N14" s="10">
        <v>5.5</v>
      </c>
      <c r="O14" s="10"/>
      <c r="P14" s="10"/>
      <c r="Q14" s="10" t="s">
        <v>11</v>
      </c>
      <c r="R14" s="10">
        <v>2</v>
      </c>
      <c r="S14" s="10"/>
      <c r="T14" s="10"/>
      <c r="U14" s="10"/>
      <c r="V14" s="10"/>
      <c r="W14" s="10"/>
      <c r="X14" s="32"/>
      <c r="Y14" s="50">
        <v>67</v>
      </c>
      <c r="Z14" s="50"/>
      <c r="AA14" s="10" t="s">
        <v>27</v>
      </c>
      <c r="AB14" s="10">
        <v>1</v>
      </c>
      <c r="AC14" s="20">
        <v>0</v>
      </c>
      <c r="AD14" s="11" t="s">
        <v>43</v>
      </c>
      <c r="AE14" s="11" t="s">
        <v>211</v>
      </c>
      <c r="AF14" s="10" t="s">
        <v>95</v>
      </c>
      <c r="AG14" s="32">
        <f>36.8/17.5</f>
        <v>2.1028571428571428</v>
      </c>
      <c r="AH14" s="10">
        <v>0</v>
      </c>
      <c r="AI14" s="27"/>
      <c r="AJ14" s="13"/>
      <c r="AK14" s="11">
        <v>1</v>
      </c>
      <c r="AL14" s="10">
        <v>573</v>
      </c>
      <c r="AM14" s="19"/>
      <c r="AN14" s="19"/>
      <c r="AO14" s="19"/>
      <c r="AP14" s="19"/>
      <c r="AQ14" s="14">
        <f>Table1[[#This Row],[Y_Acryl_Fa]]/Table1[[#This Row],[Ratio_Ac_Fa]]</f>
        <v>0.31385869565217395</v>
      </c>
      <c r="AR14" s="19">
        <v>0.66</v>
      </c>
      <c r="AS14" s="28">
        <f t="shared" si="0"/>
        <v>5.1590000000000007</v>
      </c>
      <c r="AT14" s="16"/>
      <c r="AU14" s="10" t="s">
        <v>120</v>
      </c>
      <c r="AV14" s="30"/>
      <c r="AW14" s="10" t="s">
        <v>119</v>
      </c>
      <c r="AX14" s="10">
        <v>1989</v>
      </c>
      <c r="AY14" s="32">
        <f>150/67</f>
        <v>2.2388059701492535</v>
      </c>
      <c r="AZ14" s="32"/>
      <c r="BA14" s="20">
        <f t="shared" si="1"/>
        <v>0.29166666666666669</v>
      </c>
      <c r="BB14" s="20">
        <f t="shared" si="2"/>
        <v>0.61333333333333329</v>
      </c>
      <c r="BC14" s="20">
        <f>BA14*60*AR14/AY14</f>
        <v>5.1590000000000007</v>
      </c>
      <c r="BD14" s="20">
        <f>BB14*60*AQ14/AY14</f>
        <v>5.1590000000000007</v>
      </c>
    </row>
    <row r="15" spans="1:56" s="18" customFormat="1" ht="18" customHeight="1">
      <c r="A15" s="10">
        <v>14</v>
      </c>
      <c r="B15" s="13">
        <v>0</v>
      </c>
      <c r="C15" s="10"/>
      <c r="D15" s="10"/>
      <c r="E15" s="27"/>
      <c r="F15" s="10"/>
      <c r="G15" s="10"/>
      <c r="H15" s="27"/>
      <c r="I15" s="10" t="s">
        <v>205</v>
      </c>
      <c r="J15" s="10">
        <v>1</v>
      </c>
      <c r="K15" s="10"/>
      <c r="L15" s="10"/>
      <c r="M15" s="10" t="s">
        <v>7</v>
      </c>
      <c r="N15" s="10">
        <v>5.5</v>
      </c>
      <c r="O15" s="10"/>
      <c r="P15" s="10"/>
      <c r="Q15" s="10" t="s">
        <v>11</v>
      </c>
      <c r="R15" s="10">
        <v>2</v>
      </c>
      <c r="S15" s="10"/>
      <c r="T15" s="10"/>
      <c r="U15" s="10"/>
      <c r="V15" s="10"/>
      <c r="W15" s="10"/>
      <c r="X15" s="32"/>
      <c r="Y15" s="50">
        <v>145</v>
      </c>
      <c r="Z15" s="50"/>
      <c r="AA15" s="10" t="s">
        <v>27</v>
      </c>
      <c r="AB15" s="10">
        <v>1</v>
      </c>
      <c r="AC15" s="20">
        <v>0</v>
      </c>
      <c r="AD15" s="11" t="s">
        <v>43</v>
      </c>
      <c r="AE15" s="11" t="s">
        <v>211</v>
      </c>
      <c r="AF15" s="10" t="s">
        <v>95</v>
      </c>
      <c r="AG15" s="32">
        <f>36.8/17.5</f>
        <v>2.1028571428571428</v>
      </c>
      <c r="AH15" s="10">
        <v>0</v>
      </c>
      <c r="AI15" s="27"/>
      <c r="AJ15" s="13"/>
      <c r="AK15" s="11">
        <v>1</v>
      </c>
      <c r="AL15" s="10">
        <v>573</v>
      </c>
      <c r="AM15" s="19"/>
      <c r="AN15" s="19"/>
      <c r="AO15" s="19"/>
      <c r="AP15" s="19"/>
      <c r="AQ15" s="14">
        <f>Table1[[#This Row],[Y_Acryl_Fa]]/Table1[[#This Row],[Ratio_Ac_Fa]]</f>
        <v>0.25536684782608698</v>
      </c>
      <c r="AR15" s="19">
        <v>0.53700000000000003</v>
      </c>
      <c r="AS15" s="28">
        <f t="shared" si="0"/>
        <v>9.0842500000000008</v>
      </c>
      <c r="AT15" s="16"/>
      <c r="AU15" s="10" t="s">
        <v>120</v>
      </c>
      <c r="AV15" s="30"/>
      <c r="AW15" s="10" t="s">
        <v>119</v>
      </c>
      <c r="AX15" s="10">
        <v>1989</v>
      </c>
      <c r="AY15" s="32">
        <f>150/145</f>
        <v>1.0344827586206897</v>
      </c>
      <c r="AZ15" s="32"/>
      <c r="BA15" s="20">
        <f t="shared" si="1"/>
        <v>0.29166666666666669</v>
      </c>
      <c r="BB15" s="20">
        <f t="shared" si="2"/>
        <v>0.61333333333333329</v>
      </c>
      <c r="BC15" s="20">
        <f>BA15*60*AR15/AY15</f>
        <v>9.0842500000000008</v>
      </c>
      <c r="BD15" s="20">
        <f>BB15*60*AQ15/AY15</f>
        <v>9.0842500000000008</v>
      </c>
    </row>
    <row r="16" spans="1:56" s="18" customFormat="1" ht="18" customHeight="1">
      <c r="A16" s="10">
        <v>15</v>
      </c>
      <c r="B16" s="13">
        <v>0</v>
      </c>
      <c r="C16" s="10"/>
      <c r="D16" s="10"/>
      <c r="E16" s="27"/>
      <c r="F16" s="10"/>
      <c r="G16" s="10"/>
      <c r="H16" s="27"/>
      <c r="I16" s="10" t="s">
        <v>205</v>
      </c>
      <c r="J16" s="10">
        <v>1</v>
      </c>
      <c r="K16" s="10"/>
      <c r="L16" s="10"/>
      <c r="M16" s="10" t="s">
        <v>7</v>
      </c>
      <c r="N16" s="10">
        <v>5.5</v>
      </c>
      <c r="O16" s="10"/>
      <c r="P16" s="10"/>
      <c r="Q16" s="10" t="s">
        <v>11</v>
      </c>
      <c r="R16" s="10">
        <v>2</v>
      </c>
      <c r="S16" s="10"/>
      <c r="T16" s="10"/>
      <c r="U16" s="10"/>
      <c r="V16" s="10"/>
      <c r="W16" s="10"/>
      <c r="X16" s="32"/>
      <c r="Y16" s="50">
        <v>126</v>
      </c>
      <c r="Z16" s="50"/>
      <c r="AA16" s="10" t="s">
        <v>27</v>
      </c>
      <c r="AB16" s="10">
        <v>1</v>
      </c>
      <c r="AC16" s="20">
        <v>0</v>
      </c>
      <c r="AD16" s="11" t="s">
        <v>43</v>
      </c>
      <c r="AE16" s="11" t="s">
        <v>211</v>
      </c>
      <c r="AF16" s="10" t="s">
        <v>95</v>
      </c>
      <c r="AG16" s="32">
        <f>36.8/17.5</f>
        <v>2.1028571428571428</v>
      </c>
      <c r="AH16" s="10">
        <v>0</v>
      </c>
      <c r="AI16" s="27"/>
      <c r="AJ16" s="13"/>
      <c r="AK16" s="11">
        <v>1</v>
      </c>
      <c r="AL16" s="10">
        <v>573</v>
      </c>
      <c r="AM16" s="19"/>
      <c r="AN16" s="19"/>
      <c r="AO16" s="19"/>
      <c r="AP16" s="19"/>
      <c r="AQ16" s="14">
        <f>Table1[[#This Row],[Y_Acryl_Fa]]/Table1[[#This Row],[Ratio_Ac_Fa]]</f>
        <v>0.22160326086956525</v>
      </c>
      <c r="AR16" s="19">
        <v>0.46600000000000003</v>
      </c>
      <c r="AS16" s="28">
        <f t="shared" si="0"/>
        <v>6.850200000000001</v>
      </c>
      <c r="AT16" s="16"/>
      <c r="AU16" s="10" t="s">
        <v>120</v>
      </c>
      <c r="AV16" s="30"/>
      <c r="AW16" s="10" t="s">
        <v>119</v>
      </c>
      <c r="AX16" s="10">
        <v>1989</v>
      </c>
      <c r="AY16" s="32">
        <f>150/126</f>
        <v>1.1904761904761905</v>
      </c>
      <c r="AZ16" s="32"/>
      <c r="BA16" s="20">
        <f t="shared" si="1"/>
        <v>0.29166666666666669</v>
      </c>
      <c r="BB16" s="20">
        <f t="shared" si="2"/>
        <v>0.61333333333333329</v>
      </c>
      <c r="BC16" s="20">
        <f>BA16*60*AR16/AY16</f>
        <v>6.850200000000001</v>
      </c>
      <c r="BD16" s="20">
        <f>BB16*60*AQ16/AY16</f>
        <v>6.850200000000001</v>
      </c>
    </row>
    <row r="17" spans="1:56" s="18" customFormat="1" ht="18" customHeight="1">
      <c r="A17" s="10">
        <v>16</v>
      </c>
      <c r="B17" s="13">
        <v>0</v>
      </c>
      <c r="C17" s="10"/>
      <c r="D17" s="10"/>
      <c r="E17" s="27"/>
      <c r="F17" s="10"/>
      <c r="G17" s="10"/>
      <c r="H17" s="27"/>
      <c r="I17" s="10" t="s">
        <v>205</v>
      </c>
      <c r="J17" s="10">
        <v>1</v>
      </c>
      <c r="K17" s="10"/>
      <c r="L17" s="10"/>
      <c r="M17" s="10" t="s">
        <v>7</v>
      </c>
      <c r="N17" s="10">
        <v>4</v>
      </c>
      <c r="O17" s="10"/>
      <c r="P17" s="10"/>
      <c r="Q17" s="10" t="s">
        <v>11</v>
      </c>
      <c r="R17" s="10">
        <v>2</v>
      </c>
      <c r="S17" s="10"/>
      <c r="T17" s="10"/>
      <c r="U17" s="10"/>
      <c r="V17" s="10"/>
      <c r="W17" s="10"/>
      <c r="X17" s="10"/>
      <c r="Y17" s="50">
        <v>145</v>
      </c>
      <c r="Z17" s="50"/>
      <c r="AA17" s="10" t="s">
        <v>124</v>
      </c>
      <c r="AB17" s="10">
        <v>1</v>
      </c>
      <c r="AC17" s="20">
        <v>0</v>
      </c>
      <c r="AD17" s="10" t="s">
        <v>43</v>
      </c>
      <c r="AE17" s="10" t="s">
        <v>211</v>
      </c>
      <c r="AF17" s="10" t="s">
        <v>95</v>
      </c>
      <c r="AG17" s="32">
        <v>2.1028571428571428</v>
      </c>
      <c r="AH17" s="10">
        <v>0</v>
      </c>
      <c r="AI17" s="27"/>
      <c r="AJ17" s="27"/>
      <c r="AK17" s="10">
        <v>1</v>
      </c>
      <c r="AL17" s="10">
        <v>593</v>
      </c>
      <c r="AM17" s="19"/>
      <c r="AN17" s="19"/>
      <c r="AO17" s="19"/>
      <c r="AP17" s="19"/>
      <c r="AQ17" s="19">
        <f>Table1[[#This Row],[Y_Acryl_Fa]]/Table1[[#This Row],[Ratio_Ac_Fa]]</f>
        <v>0.28941576086956522</v>
      </c>
      <c r="AR17" s="19">
        <v>0.60860000000000003</v>
      </c>
      <c r="AS17" s="28">
        <f t="shared" si="0"/>
        <v>4.8411363636363625</v>
      </c>
      <c r="AT17" s="16"/>
      <c r="AU17" s="10" t="s">
        <v>121</v>
      </c>
      <c r="AV17" s="30"/>
      <c r="AW17" s="10" t="s">
        <v>119</v>
      </c>
      <c r="AX17" s="10">
        <v>1989</v>
      </c>
      <c r="AY17" s="10">
        <v>2.2000000000000002</v>
      </c>
      <c r="AZ17" s="10"/>
      <c r="BA17" s="20">
        <f t="shared" si="1"/>
        <v>0.29166666666666669</v>
      </c>
      <c r="BB17" s="20">
        <f t="shared" si="2"/>
        <v>0.61333333333333329</v>
      </c>
      <c r="BC17" s="20">
        <f>BA17*60*AR17/AY17</f>
        <v>4.8411363636363633</v>
      </c>
      <c r="BD17" s="20">
        <f>BB17*60*AQ17/AY17</f>
        <v>4.8411363636363625</v>
      </c>
    </row>
    <row r="18" spans="1:56" s="18" customFormat="1" ht="18" customHeight="1">
      <c r="A18" s="10">
        <v>17</v>
      </c>
      <c r="B18" s="13">
        <v>0</v>
      </c>
      <c r="C18" s="10"/>
      <c r="D18" s="10"/>
      <c r="E18" s="27"/>
      <c r="F18" s="10"/>
      <c r="G18" s="10"/>
      <c r="H18" s="27"/>
      <c r="I18" s="10" t="s">
        <v>205</v>
      </c>
      <c r="J18" s="10">
        <v>1</v>
      </c>
      <c r="K18" s="10"/>
      <c r="L18" s="10"/>
      <c r="M18" s="10" t="s">
        <v>7</v>
      </c>
      <c r="N18" s="10">
        <v>5</v>
      </c>
      <c r="O18" s="10"/>
      <c r="P18" s="10"/>
      <c r="Q18" s="10" t="s">
        <v>11</v>
      </c>
      <c r="R18" s="10">
        <v>2</v>
      </c>
      <c r="S18" s="10"/>
      <c r="T18" s="10"/>
      <c r="U18" s="10"/>
      <c r="V18" s="10"/>
      <c r="W18" s="10"/>
      <c r="X18" s="10"/>
      <c r="Y18" s="50">
        <v>60</v>
      </c>
      <c r="Z18" s="50"/>
      <c r="AA18" s="10" t="s">
        <v>124</v>
      </c>
      <c r="AB18" s="10">
        <v>1</v>
      </c>
      <c r="AC18" s="20">
        <v>0</v>
      </c>
      <c r="AD18" s="10" t="s">
        <v>43</v>
      </c>
      <c r="AE18" s="10" t="s">
        <v>211</v>
      </c>
      <c r="AF18" s="10" t="s">
        <v>95</v>
      </c>
      <c r="AG18" s="32">
        <v>2.1028571428571428</v>
      </c>
      <c r="AH18" s="10">
        <v>0</v>
      </c>
      <c r="AI18" s="27"/>
      <c r="AJ18" s="27"/>
      <c r="AK18" s="10">
        <v>1</v>
      </c>
      <c r="AL18" s="10">
        <v>593</v>
      </c>
      <c r="AM18" s="19"/>
      <c r="AN18" s="19"/>
      <c r="AO18" s="19"/>
      <c r="AP18" s="19"/>
      <c r="AQ18" s="19">
        <f>Table1[[#This Row],[Y_Acryl_Fa]]/Table1[[#This Row],[Ratio_Ac_Fa]]</f>
        <v>0.38832880434782613</v>
      </c>
      <c r="AR18" s="19">
        <v>0.81659999999999999</v>
      </c>
      <c r="AS18" s="28">
        <f t="shared" si="0"/>
        <v>2.3817499999999998</v>
      </c>
      <c r="AT18" s="16"/>
      <c r="AU18" s="10" t="s">
        <v>121</v>
      </c>
      <c r="AV18" s="30"/>
      <c r="AW18" s="10" t="s">
        <v>119</v>
      </c>
      <c r="AX18" s="10">
        <v>1989</v>
      </c>
      <c r="AY18" s="10">
        <v>6</v>
      </c>
      <c r="AZ18" s="10"/>
      <c r="BA18" s="20">
        <f t="shared" si="1"/>
        <v>0.29166666666666669</v>
      </c>
      <c r="BB18" s="20">
        <f t="shared" si="2"/>
        <v>0.61333333333333329</v>
      </c>
      <c r="BC18" s="20">
        <f>BA18*60*AR18/AY18</f>
        <v>2.3817499999999998</v>
      </c>
      <c r="BD18" s="20">
        <f>BB18*60*AQ18/AY18</f>
        <v>2.3817499999999998</v>
      </c>
    </row>
    <row r="19" spans="1:56" s="18" customFormat="1" ht="18" customHeight="1">
      <c r="A19" s="10">
        <v>18</v>
      </c>
      <c r="B19" s="13">
        <v>0</v>
      </c>
      <c r="C19" s="10"/>
      <c r="D19" s="10"/>
      <c r="E19" s="27"/>
      <c r="F19" s="10"/>
      <c r="G19" s="10"/>
      <c r="H19" s="27"/>
      <c r="I19" s="10" t="s">
        <v>205</v>
      </c>
      <c r="J19" s="10">
        <v>1</v>
      </c>
      <c r="K19" s="10"/>
      <c r="L19" s="10"/>
      <c r="M19" s="10" t="s">
        <v>7</v>
      </c>
      <c r="N19" s="10">
        <v>5.5</v>
      </c>
      <c r="O19" s="10"/>
      <c r="P19" s="10"/>
      <c r="Q19" s="10" t="s">
        <v>11</v>
      </c>
      <c r="R19" s="10">
        <v>2</v>
      </c>
      <c r="S19" s="10"/>
      <c r="T19" s="10"/>
      <c r="U19" s="10"/>
      <c r="V19" s="10"/>
      <c r="W19" s="10"/>
      <c r="X19" s="10"/>
      <c r="Y19" s="50">
        <v>40</v>
      </c>
      <c r="Z19" s="50"/>
      <c r="AA19" s="10" t="s">
        <v>124</v>
      </c>
      <c r="AB19" s="10">
        <v>1</v>
      </c>
      <c r="AC19" s="20">
        <v>0</v>
      </c>
      <c r="AD19" s="10" t="s">
        <v>43</v>
      </c>
      <c r="AE19" s="10" t="s">
        <v>211</v>
      </c>
      <c r="AF19" s="10" t="s">
        <v>95</v>
      </c>
      <c r="AG19" s="32">
        <v>2.1028571428571428</v>
      </c>
      <c r="AH19" s="10">
        <v>0</v>
      </c>
      <c r="AI19" s="27"/>
      <c r="AJ19" s="27"/>
      <c r="AK19" s="10">
        <v>1</v>
      </c>
      <c r="AL19" s="10">
        <v>593</v>
      </c>
      <c r="AM19" s="19"/>
      <c r="AN19" s="19"/>
      <c r="AO19" s="19"/>
      <c r="AP19" s="19"/>
      <c r="AQ19" s="19">
        <f>Table1[[#This Row],[Y_Acryl_Fa]]/Table1[[#This Row],[Ratio_Ac_Fa]]</f>
        <v>0.41681385869565218</v>
      </c>
      <c r="AR19" s="19">
        <v>0.87649999999999995</v>
      </c>
      <c r="AS19" s="28">
        <f t="shared" si="0"/>
        <v>0.76693749999999994</v>
      </c>
      <c r="AT19" s="16"/>
      <c r="AU19" s="10" t="s">
        <v>121</v>
      </c>
      <c r="AV19" s="30"/>
      <c r="AW19" s="10" t="s">
        <v>119</v>
      </c>
      <c r="AX19" s="10">
        <v>1989</v>
      </c>
      <c r="AY19" s="10">
        <v>20</v>
      </c>
      <c r="AZ19" s="10"/>
      <c r="BA19" s="20">
        <f t="shared" si="1"/>
        <v>0.29166666666666669</v>
      </c>
      <c r="BB19" s="20">
        <f t="shared" si="2"/>
        <v>0.61333333333333329</v>
      </c>
      <c r="BC19" s="20">
        <f>BA19*60*AR19/AY19</f>
        <v>0.76693749999999994</v>
      </c>
      <c r="BD19" s="20">
        <f>BB19*60*AQ19/AY19</f>
        <v>0.76693749999999994</v>
      </c>
    </row>
    <row r="20" spans="1:56" s="18" customFormat="1" ht="18" customHeight="1">
      <c r="A20" s="10">
        <v>19</v>
      </c>
      <c r="B20" s="13">
        <v>0</v>
      </c>
      <c r="C20" s="10"/>
      <c r="D20" s="10"/>
      <c r="E20" s="27"/>
      <c r="F20" s="10"/>
      <c r="G20" s="10"/>
      <c r="H20" s="27"/>
      <c r="I20" s="10" t="s">
        <v>205</v>
      </c>
      <c r="J20" s="10">
        <v>1</v>
      </c>
      <c r="K20" s="10"/>
      <c r="L20" s="10"/>
      <c r="M20" s="10" t="s">
        <v>7</v>
      </c>
      <c r="N20" s="10">
        <v>5.5</v>
      </c>
      <c r="O20" s="10"/>
      <c r="P20" s="10"/>
      <c r="Q20" s="10" t="s">
        <v>11</v>
      </c>
      <c r="R20" s="10">
        <v>2</v>
      </c>
      <c r="S20" s="10"/>
      <c r="T20" s="10"/>
      <c r="U20" s="10"/>
      <c r="V20" s="10"/>
      <c r="W20" s="10"/>
      <c r="X20" s="10"/>
      <c r="Y20" s="50">
        <v>65</v>
      </c>
      <c r="Z20" s="50"/>
      <c r="AA20" s="10" t="s">
        <v>124</v>
      </c>
      <c r="AB20" s="10">
        <v>1</v>
      </c>
      <c r="AC20" s="20">
        <v>0</v>
      </c>
      <c r="AD20" s="10" t="s">
        <v>43</v>
      </c>
      <c r="AE20" s="10" t="s">
        <v>211</v>
      </c>
      <c r="AF20" s="10" t="s">
        <v>95</v>
      </c>
      <c r="AG20" s="32">
        <v>2.1028571428571428</v>
      </c>
      <c r="AH20" s="10">
        <v>0</v>
      </c>
      <c r="AI20" s="27"/>
      <c r="AJ20" s="27"/>
      <c r="AK20" s="10">
        <v>1</v>
      </c>
      <c r="AL20" s="10">
        <v>593</v>
      </c>
      <c r="AM20" s="19"/>
      <c r="AN20" s="19"/>
      <c r="AO20" s="19"/>
      <c r="AP20" s="19"/>
      <c r="AQ20" s="19">
        <f>Table1[[#This Row],[Y_Acryl_Fa]]/Table1[[#This Row],[Ratio_Ac_Fa]]</f>
        <v>0.37330163043478265</v>
      </c>
      <c r="AR20" s="19">
        <v>0.78500000000000003</v>
      </c>
      <c r="AS20" s="28">
        <f t="shared" si="0"/>
        <v>6.2443181818181817</v>
      </c>
      <c r="AT20" s="16"/>
      <c r="AU20" s="10" t="s">
        <v>121</v>
      </c>
      <c r="AV20" s="30"/>
      <c r="AW20" s="10" t="s">
        <v>119</v>
      </c>
      <c r="AX20" s="10">
        <v>1989</v>
      </c>
      <c r="AY20" s="10">
        <v>2.2000000000000002</v>
      </c>
      <c r="AZ20" s="10"/>
      <c r="BA20" s="20">
        <f t="shared" si="1"/>
        <v>0.29166666666666669</v>
      </c>
      <c r="BB20" s="20">
        <f t="shared" si="2"/>
        <v>0.61333333333333329</v>
      </c>
      <c r="BC20" s="20">
        <f>BA20*60*AR20/AY20</f>
        <v>6.2443181818181817</v>
      </c>
      <c r="BD20" s="20">
        <f>BB20*60*AQ20/AY20</f>
        <v>6.2443181818181817</v>
      </c>
    </row>
    <row r="21" spans="1:56" s="18" customFormat="1" ht="18" customHeight="1">
      <c r="A21" s="10">
        <v>20</v>
      </c>
      <c r="B21" s="13">
        <v>0</v>
      </c>
      <c r="C21" s="10"/>
      <c r="D21" s="10"/>
      <c r="E21" s="27"/>
      <c r="F21" s="10"/>
      <c r="G21" s="10"/>
      <c r="H21" s="27"/>
      <c r="I21" s="10" t="s">
        <v>205</v>
      </c>
      <c r="J21" s="10">
        <v>1</v>
      </c>
      <c r="K21" s="10"/>
      <c r="L21" s="10"/>
      <c r="M21" s="10" t="s">
        <v>7</v>
      </c>
      <c r="N21" s="10">
        <v>5.5</v>
      </c>
      <c r="O21" s="10"/>
      <c r="P21" s="10"/>
      <c r="Q21" s="10" t="s">
        <v>11</v>
      </c>
      <c r="R21" s="10">
        <v>2</v>
      </c>
      <c r="S21" s="10"/>
      <c r="T21" s="10"/>
      <c r="U21" s="10"/>
      <c r="V21" s="10"/>
      <c r="W21" s="10"/>
      <c r="X21" s="10"/>
      <c r="Y21" s="50">
        <v>65</v>
      </c>
      <c r="Z21" s="50"/>
      <c r="AA21" s="10" t="s">
        <v>124</v>
      </c>
      <c r="AB21" s="10">
        <v>1</v>
      </c>
      <c r="AC21" s="20">
        <v>0</v>
      </c>
      <c r="AD21" s="10" t="s">
        <v>43</v>
      </c>
      <c r="AE21" s="10" t="s">
        <v>211</v>
      </c>
      <c r="AF21" s="10" t="s">
        <v>95</v>
      </c>
      <c r="AG21" s="32">
        <v>2.1028571428571428</v>
      </c>
      <c r="AH21" s="10">
        <v>0</v>
      </c>
      <c r="AI21" s="27"/>
      <c r="AJ21" s="27"/>
      <c r="AK21" s="10">
        <v>1</v>
      </c>
      <c r="AL21" s="10">
        <v>593</v>
      </c>
      <c r="AM21" s="19"/>
      <c r="AN21" s="19"/>
      <c r="AO21" s="19"/>
      <c r="AP21" s="19"/>
      <c r="AQ21" s="19">
        <f>Table1[[#This Row],[Y_Acryl_Fa]]/Table1[[#This Row],[Ratio_Ac_Fa]]</f>
        <v>0.43735733695652174</v>
      </c>
      <c r="AR21" s="19">
        <v>0.91969999999999996</v>
      </c>
      <c r="AS21" s="28">
        <f t="shared" si="0"/>
        <v>3.2189499999999995</v>
      </c>
      <c r="AT21" s="16"/>
      <c r="AU21" s="10" t="s">
        <v>121</v>
      </c>
      <c r="AV21" s="30"/>
      <c r="AW21" s="10" t="s">
        <v>119</v>
      </c>
      <c r="AX21" s="10">
        <v>1989</v>
      </c>
      <c r="AY21" s="10">
        <v>5</v>
      </c>
      <c r="AZ21" s="10"/>
      <c r="BA21" s="20">
        <f t="shared" si="1"/>
        <v>0.29166666666666669</v>
      </c>
      <c r="BB21" s="20">
        <f t="shared" si="2"/>
        <v>0.61333333333333329</v>
      </c>
      <c r="BC21" s="20">
        <f>BA21*60*AR21/AY21</f>
        <v>3.2189499999999995</v>
      </c>
      <c r="BD21" s="20">
        <f>BB21*60*AQ21/AY21</f>
        <v>3.2189499999999995</v>
      </c>
    </row>
    <row r="22" spans="1:56" s="18" customFormat="1" ht="18" customHeight="1">
      <c r="A22" s="10">
        <v>21</v>
      </c>
      <c r="B22" s="13">
        <v>0</v>
      </c>
      <c r="C22" s="10"/>
      <c r="D22" s="10"/>
      <c r="E22" s="27"/>
      <c r="F22" s="10"/>
      <c r="G22" s="10"/>
      <c r="H22" s="27"/>
      <c r="I22" s="10" t="s">
        <v>205</v>
      </c>
      <c r="J22" s="10">
        <v>1</v>
      </c>
      <c r="K22" s="10"/>
      <c r="L22" s="10"/>
      <c r="M22" s="10" t="s">
        <v>7</v>
      </c>
      <c r="N22" s="10">
        <v>1.06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50">
        <v>23</v>
      </c>
      <c r="Z22" s="50"/>
      <c r="AA22" s="10" t="s">
        <v>4</v>
      </c>
      <c r="AB22" s="10">
        <v>1</v>
      </c>
      <c r="AC22" s="20">
        <v>0</v>
      </c>
      <c r="AD22" s="11" t="s">
        <v>44</v>
      </c>
      <c r="AE22" s="10" t="s">
        <v>175</v>
      </c>
      <c r="AF22" s="10" t="s">
        <v>95</v>
      </c>
      <c r="AG22" s="10">
        <v>2</v>
      </c>
      <c r="AH22" s="10">
        <v>0</v>
      </c>
      <c r="AI22" s="27"/>
      <c r="AJ22" s="27"/>
      <c r="AK22" s="10">
        <v>1</v>
      </c>
      <c r="AL22" s="10">
        <v>613</v>
      </c>
      <c r="AM22" s="19"/>
      <c r="AN22" s="19"/>
      <c r="AO22" s="19"/>
      <c r="AP22" s="19"/>
      <c r="AQ22" s="19">
        <v>0.22500000000000001</v>
      </c>
      <c r="AR22" s="19">
        <v>0.53</v>
      </c>
      <c r="AS22" s="28"/>
      <c r="AT22" s="16"/>
      <c r="AU22" s="10" t="s">
        <v>18</v>
      </c>
      <c r="AV22" s="30" t="s">
        <v>91</v>
      </c>
      <c r="AW22" s="10" t="s">
        <v>119</v>
      </c>
      <c r="AX22" s="10">
        <v>1992</v>
      </c>
      <c r="AY22" s="10"/>
      <c r="AZ22" s="10"/>
      <c r="BA22" s="20">
        <f>12/60</f>
        <v>0.2</v>
      </c>
      <c r="BB22" s="20">
        <f>24/60</f>
        <v>0.4</v>
      </c>
      <c r="BC22" s="20"/>
      <c r="BD22" s="20"/>
    </row>
    <row r="23" spans="1:56" s="18" customFormat="1" ht="18" customHeight="1">
      <c r="A23" s="10">
        <v>22</v>
      </c>
      <c r="B23" s="13">
        <v>0</v>
      </c>
      <c r="C23" s="10"/>
      <c r="D23" s="10"/>
      <c r="E23" s="27"/>
      <c r="F23" s="10"/>
      <c r="G23" s="10"/>
      <c r="H23" s="27"/>
      <c r="I23" s="10" t="s">
        <v>205</v>
      </c>
      <c r="J23" s="10">
        <v>1</v>
      </c>
      <c r="K23" s="10"/>
      <c r="L23" s="10"/>
      <c r="M23" s="10" t="s">
        <v>7</v>
      </c>
      <c r="N23" s="10">
        <v>6</v>
      </c>
      <c r="O23" s="10"/>
      <c r="P23" s="10"/>
      <c r="Q23" s="10" t="s">
        <v>11</v>
      </c>
      <c r="R23" s="10">
        <v>2</v>
      </c>
      <c r="S23" s="10"/>
      <c r="T23" s="10"/>
      <c r="U23" s="10"/>
      <c r="V23" s="10"/>
      <c r="W23" s="10"/>
      <c r="X23" s="10"/>
      <c r="Y23" s="50">
        <v>36</v>
      </c>
      <c r="Z23" s="50"/>
      <c r="AA23" s="10" t="s">
        <v>4</v>
      </c>
      <c r="AB23" s="10">
        <v>1</v>
      </c>
      <c r="AC23" s="20">
        <v>0</v>
      </c>
      <c r="AD23" s="11" t="s">
        <v>44</v>
      </c>
      <c r="AE23" s="10" t="s">
        <v>175</v>
      </c>
      <c r="AF23" s="10" t="s">
        <v>95</v>
      </c>
      <c r="AG23" s="10">
        <v>2</v>
      </c>
      <c r="AH23" s="10">
        <v>0</v>
      </c>
      <c r="AI23" s="27"/>
      <c r="AJ23" s="27"/>
      <c r="AK23" s="10">
        <v>1</v>
      </c>
      <c r="AL23" s="10">
        <v>613</v>
      </c>
      <c r="AM23" s="19">
        <f>Table1[[#This Row],[Y_Acryl_Ac]]/Table1[[#This Row],[S_Acryl_Ac]]</f>
        <v>0.42499999999999999</v>
      </c>
      <c r="AN23" s="19">
        <v>1</v>
      </c>
      <c r="AO23" s="19"/>
      <c r="AP23" s="19"/>
      <c r="AQ23" s="19">
        <f>Table1[[#This Row],[Y_Acryl_Fa]]/Table1[[#This Row],[Ratio_Ac_Fa]]</f>
        <v>0.42499999999999999</v>
      </c>
      <c r="AR23" s="19">
        <v>0.85</v>
      </c>
      <c r="AS23" s="28"/>
      <c r="AT23" s="16"/>
      <c r="AU23" s="10" t="s">
        <v>18</v>
      </c>
      <c r="AV23" s="30" t="s">
        <v>92</v>
      </c>
      <c r="AW23" s="10" t="s">
        <v>119</v>
      </c>
      <c r="AX23" s="10">
        <v>1992</v>
      </c>
      <c r="AY23" s="10"/>
      <c r="AZ23" s="10"/>
      <c r="BA23" s="20">
        <f>12/60</f>
        <v>0.2</v>
      </c>
      <c r="BB23" s="20">
        <f>24/60</f>
        <v>0.4</v>
      </c>
      <c r="BC23" s="20"/>
      <c r="BD23" s="20"/>
    </row>
    <row r="24" spans="1:56" s="18" customFormat="1" ht="18" customHeight="1">
      <c r="A24" s="10">
        <v>23</v>
      </c>
      <c r="B24" s="13">
        <v>0</v>
      </c>
      <c r="C24" s="10"/>
      <c r="D24" s="10"/>
      <c r="E24" s="27"/>
      <c r="F24" s="10"/>
      <c r="G24" s="10"/>
      <c r="H24" s="27"/>
      <c r="I24" s="10" t="s">
        <v>205</v>
      </c>
      <c r="J24" s="10">
        <v>1</v>
      </c>
      <c r="K24" s="10"/>
      <c r="L24" s="10"/>
      <c r="M24" s="10" t="s">
        <v>7</v>
      </c>
      <c r="N24" s="10">
        <v>2.8</v>
      </c>
      <c r="O24" s="10"/>
      <c r="P24" s="10"/>
      <c r="Q24" s="10" t="s">
        <v>10</v>
      </c>
      <c r="R24" s="10">
        <v>8</v>
      </c>
      <c r="S24" s="10"/>
      <c r="T24" s="10"/>
      <c r="U24" s="10"/>
      <c r="V24" s="10"/>
      <c r="W24" s="10"/>
      <c r="X24" s="10"/>
      <c r="Y24" s="50">
        <v>57</v>
      </c>
      <c r="Z24" s="50"/>
      <c r="AA24" s="10" t="s">
        <v>4</v>
      </c>
      <c r="AB24" s="10">
        <v>1</v>
      </c>
      <c r="AC24" s="20">
        <v>0</v>
      </c>
      <c r="AD24" s="11" t="s">
        <v>44</v>
      </c>
      <c r="AE24" s="10" t="s">
        <v>175</v>
      </c>
      <c r="AF24" s="10" t="s">
        <v>95</v>
      </c>
      <c r="AG24" s="10">
        <v>2</v>
      </c>
      <c r="AH24" s="10">
        <v>0</v>
      </c>
      <c r="AI24" s="27"/>
      <c r="AJ24" s="27"/>
      <c r="AK24" s="10">
        <v>1</v>
      </c>
      <c r="AL24" s="10">
        <v>613</v>
      </c>
      <c r="AM24" s="19"/>
      <c r="AN24" s="19"/>
      <c r="AO24" s="19"/>
      <c r="AP24" s="19"/>
      <c r="AQ24" s="19">
        <v>0.2</v>
      </c>
      <c r="AR24" s="19">
        <v>0.49</v>
      </c>
      <c r="AS24" s="28"/>
      <c r="AT24" s="16"/>
      <c r="AU24" s="10" t="s">
        <v>18</v>
      </c>
      <c r="AV24" s="30" t="s">
        <v>20</v>
      </c>
      <c r="AW24" s="10" t="s">
        <v>119</v>
      </c>
      <c r="AX24" s="10">
        <v>1992</v>
      </c>
      <c r="AY24" s="10"/>
      <c r="AZ24" s="10"/>
      <c r="BA24" s="20">
        <f>12/60</f>
        <v>0.2</v>
      </c>
      <c r="BB24" s="20">
        <f>24/60</f>
        <v>0.4</v>
      </c>
      <c r="BC24" s="20"/>
      <c r="BD24" s="20"/>
    </row>
    <row r="25" spans="1:56" s="18" customFormat="1">
      <c r="A25" s="10">
        <v>24</v>
      </c>
      <c r="B25" s="13">
        <v>0</v>
      </c>
      <c r="C25" s="10"/>
      <c r="D25" s="10"/>
      <c r="E25" s="27"/>
      <c r="F25" s="10"/>
      <c r="G25" s="10"/>
      <c r="H25" s="27"/>
      <c r="I25" s="10" t="s">
        <v>205</v>
      </c>
      <c r="J25" s="10">
        <v>1</v>
      </c>
      <c r="K25" s="10"/>
      <c r="L25" s="10"/>
      <c r="M25" s="10" t="s">
        <v>7</v>
      </c>
      <c r="N25" s="10">
        <v>6</v>
      </c>
      <c r="O25" s="10"/>
      <c r="P25" s="10"/>
      <c r="Q25" s="10" t="s">
        <v>11</v>
      </c>
      <c r="R25" s="10">
        <v>2</v>
      </c>
      <c r="S25" s="10"/>
      <c r="T25" s="10"/>
      <c r="U25" s="10"/>
      <c r="V25" s="10"/>
      <c r="W25" s="10"/>
      <c r="X25" s="10"/>
      <c r="Y25" s="50">
        <v>36</v>
      </c>
      <c r="Z25" s="50"/>
      <c r="AA25" s="10" t="s">
        <v>4</v>
      </c>
      <c r="AB25" s="10">
        <v>1</v>
      </c>
      <c r="AC25" s="20">
        <f>12/(350+12)</f>
        <v>3.3149171270718231E-2</v>
      </c>
      <c r="AD25" s="11" t="s">
        <v>44</v>
      </c>
      <c r="AE25" s="10" t="s">
        <v>175</v>
      </c>
      <c r="AF25" s="10" t="s">
        <v>95</v>
      </c>
      <c r="AG25" s="10">
        <v>2</v>
      </c>
      <c r="AH25" s="10">
        <v>0</v>
      </c>
      <c r="AI25" s="27"/>
      <c r="AJ25" s="27"/>
      <c r="AK25" s="10">
        <v>1</v>
      </c>
      <c r="AL25" s="10">
        <v>613</v>
      </c>
      <c r="AM25" s="19">
        <f>Table1[[#This Row],[Y_Acryl_Ac]]/Table1[[#This Row],[S_Acryl_Ac]]</f>
        <v>0.62</v>
      </c>
      <c r="AN25" s="19">
        <v>1</v>
      </c>
      <c r="AO25" s="19"/>
      <c r="AP25" s="19"/>
      <c r="AQ25" s="19">
        <f>Table1[[#This Row],[Y_Acryl_Fa]]/Table1[[#This Row],[Ratio_Ac_Fa]]</f>
        <v>0.62</v>
      </c>
      <c r="AR25" s="19">
        <v>1.24</v>
      </c>
      <c r="AS25" s="28"/>
      <c r="AT25" s="16"/>
      <c r="AU25" s="10" t="s">
        <v>18</v>
      </c>
      <c r="AV25" s="30" t="s">
        <v>19</v>
      </c>
      <c r="AW25" s="10" t="s">
        <v>119</v>
      </c>
      <c r="AX25" s="10">
        <v>1992</v>
      </c>
      <c r="AY25" s="10"/>
      <c r="AZ25" s="10"/>
      <c r="BA25" s="20">
        <f>12/60</f>
        <v>0.2</v>
      </c>
      <c r="BB25" s="20">
        <f>24/60</f>
        <v>0.4</v>
      </c>
      <c r="BC25" s="20"/>
      <c r="BD25" s="20"/>
    </row>
    <row r="26" spans="1:56" s="18" customFormat="1">
      <c r="A26" s="10">
        <v>25</v>
      </c>
      <c r="B26" s="13">
        <v>0</v>
      </c>
      <c r="C26" s="10"/>
      <c r="D26" s="10"/>
      <c r="E26" s="27"/>
      <c r="F26" s="10"/>
      <c r="G26" s="10"/>
      <c r="H26" s="27"/>
      <c r="I26" s="10" t="s">
        <v>205</v>
      </c>
      <c r="J26" s="10">
        <v>1</v>
      </c>
      <c r="K26" s="10"/>
      <c r="L26" s="10"/>
      <c r="M26" s="10" t="s">
        <v>7</v>
      </c>
      <c r="N26" s="11">
        <v>1.05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51">
        <v>30</v>
      </c>
      <c r="Z26" s="11"/>
      <c r="AA26" s="11" t="s">
        <v>21</v>
      </c>
      <c r="AB26" s="10">
        <v>1</v>
      </c>
      <c r="AC26" s="40">
        <f>10/(90+10)</f>
        <v>0.1</v>
      </c>
      <c r="AD26" s="11" t="s">
        <v>44</v>
      </c>
      <c r="AE26" s="11" t="s">
        <v>210</v>
      </c>
      <c r="AF26" s="10" t="s">
        <v>95</v>
      </c>
      <c r="AG26" s="11">
        <v>2.5</v>
      </c>
      <c r="AH26" s="10">
        <v>0</v>
      </c>
      <c r="AI26" s="13"/>
      <c r="AJ26" s="13"/>
      <c r="AK26" s="11">
        <v>1</v>
      </c>
      <c r="AL26" s="11">
        <v>633</v>
      </c>
      <c r="AM26" s="14">
        <v>0.85</v>
      </c>
      <c r="AN26" s="14">
        <f>Table1[[#This Row],[Y_Acryl_Ac]]/Table1[[#This Row],[X_Ac]]</f>
        <v>0.45804881540048586</v>
      </c>
      <c r="AO26" s="14"/>
      <c r="AP26" s="14"/>
      <c r="AQ26" s="14">
        <f>Table1[[#This Row],[Y_Acryl_Fa]]/Table1[[#This Row],[Ratio_Ac_Fa]]</f>
        <v>0.38934149309041299</v>
      </c>
      <c r="AR26" s="14">
        <f>Table1[[#This Row],[STY_Acryl_mmolhg_manual]]*AY26/60/BA26</f>
        <v>0.97335373272603243</v>
      </c>
      <c r="AS26" s="15">
        <v>1.19</v>
      </c>
      <c r="AT26" s="16"/>
      <c r="AU26" s="11" t="s">
        <v>76</v>
      </c>
      <c r="AV26" s="17" t="s">
        <v>99</v>
      </c>
      <c r="AW26" s="10" t="s">
        <v>102</v>
      </c>
      <c r="AX26" s="10">
        <v>2014</v>
      </c>
      <c r="AY26" s="10">
        <v>5</v>
      </c>
      <c r="AZ26" s="10"/>
      <c r="BA26" s="20">
        <f>BB26/Table1[[#This Row],[Ratio_Ac_Fa]]</f>
        <v>0.10188142638435729</v>
      </c>
      <c r="BB26" s="20">
        <v>0.25470356596089322</v>
      </c>
      <c r="BC26" s="20">
        <f>BA26*60*AR26/AY26</f>
        <v>1.19</v>
      </c>
      <c r="BD26" s="20">
        <f>BB26*60*AQ26/AY26</f>
        <v>1.19</v>
      </c>
    </row>
    <row r="27" spans="1:56" s="18" customFormat="1">
      <c r="A27" s="10">
        <v>26</v>
      </c>
      <c r="B27" s="13">
        <v>0</v>
      </c>
      <c r="C27" s="10"/>
      <c r="D27" s="10"/>
      <c r="E27" s="27"/>
      <c r="F27" s="10"/>
      <c r="G27" s="10"/>
      <c r="H27" s="27"/>
      <c r="I27" s="10" t="s">
        <v>205</v>
      </c>
      <c r="J27" s="10">
        <v>1</v>
      </c>
      <c r="K27" s="10"/>
      <c r="L27" s="10"/>
      <c r="M27" s="10" t="s">
        <v>7</v>
      </c>
      <c r="N27" s="10">
        <v>1.05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50">
        <v>7.5</v>
      </c>
      <c r="Z27" s="50"/>
      <c r="AA27" s="10" t="s">
        <v>96</v>
      </c>
      <c r="AB27" s="10">
        <v>1</v>
      </c>
      <c r="AC27" s="20">
        <f t="shared" ref="AC27:AC34" si="3">3/(97+3)</f>
        <v>0.03</v>
      </c>
      <c r="AD27" s="10" t="s">
        <v>43</v>
      </c>
      <c r="AE27" s="10" t="s">
        <v>210</v>
      </c>
      <c r="AF27" s="10" t="s">
        <v>95</v>
      </c>
      <c r="AG27" s="10">
        <v>2.5</v>
      </c>
      <c r="AH27" s="10">
        <v>0</v>
      </c>
      <c r="AI27" s="27">
        <f>1.33/3</f>
        <v>0.44333333333333336</v>
      </c>
      <c r="AJ27" s="27"/>
      <c r="AK27" s="10">
        <v>1</v>
      </c>
      <c r="AL27" s="10">
        <v>633</v>
      </c>
      <c r="AM27" s="19"/>
      <c r="AN27" s="19"/>
      <c r="AO27" s="19">
        <v>0.90100000000000002</v>
      </c>
      <c r="AP27" s="19">
        <v>0.93200000000000005</v>
      </c>
      <c r="AQ27" s="19">
        <f>Table1[[#This Row],[Y_Acryl_Fa]]/2.5</f>
        <v>0.33679999999999999</v>
      </c>
      <c r="AR27" s="19">
        <v>0.84199999999999997</v>
      </c>
      <c r="AS27" s="28">
        <f t="shared" ref="AS27:AS58" si="4">AVERAGE(BC27:BD27)</f>
        <v>1.7156832203125765</v>
      </c>
      <c r="AT27" s="29">
        <v>1</v>
      </c>
      <c r="AU27" s="10" t="s">
        <v>36</v>
      </c>
      <c r="AV27" s="19" t="s">
        <v>122</v>
      </c>
      <c r="AW27" s="10" t="s">
        <v>102</v>
      </c>
      <c r="AX27" s="10">
        <v>2019</v>
      </c>
      <c r="AY27" s="10">
        <v>3</v>
      </c>
      <c r="AZ27" s="10"/>
      <c r="BA27" s="20">
        <v>0.10188142638435729</v>
      </c>
      <c r="BB27" s="20">
        <v>0.25470356596089322</v>
      </c>
      <c r="BC27" s="20">
        <f>BA27*60*AR27/AY27</f>
        <v>1.7156832203125767</v>
      </c>
      <c r="BD27" s="20">
        <f>BB27*60*AQ27/AY27</f>
        <v>1.7156832203125765</v>
      </c>
    </row>
    <row r="28" spans="1:56" s="18" customFormat="1">
      <c r="A28" s="10">
        <v>27</v>
      </c>
      <c r="B28" s="13">
        <v>0</v>
      </c>
      <c r="C28" s="10"/>
      <c r="D28" s="10"/>
      <c r="E28" s="27"/>
      <c r="F28" s="10"/>
      <c r="G28" s="10"/>
      <c r="H28" s="27"/>
      <c r="I28" s="10" t="s">
        <v>205</v>
      </c>
      <c r="J28" s="10">
        <v>1</v>
      </c>
      <c r="K28" s="10"/>
      <c r="L28" s="10"/>
      <c r="M28" s="10" t="s">
        <v>7</v>
      </c>
      <c r="N28" s="10">
        <v>1.05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50">
        <v>7.5</v>
      </c>
      <c r="Z28" s="50"/>
      <c r="AA28" s="10" t="s">
        <v>96</v>
      </c>
      <c r="AB28" s="10">
        <v>1</v>
      </c>
      <c r="AC28" s="20">
        <f t="shared" si="3"/>
        <v>0.03</v>
      </c>
      <c r="AD28" s="10" t="s">
        <v>43</v>
      </c>
      <c r="AE28" s="10" t="s">
        <v>210</v>
      </c>
      <c r="AF28" s="10" t="s">
        <v>95</v>
      </c>
      <c r="AG28" s="10">
        <v>2.5</v>
      </c>
      <c r="AH28" s="10">
        <v>0</v>
      </c>
      <c r="AI28" s="27">
        <f>6.65/3</f>
        <v>2.2166666666666668</v>
      </c>
      <c r="AJ28" s="27"/>
      <c r="AK28" s="10">
        <v>1</v>
      </c>
      <c r="AL28" s="10">
        <v>633</v>
      </c>
      <c r="AM28" s="19"/>
      <c r="AN28" s="19"/>
      <c r="AO28" s="19"/>
      <c r="AP28" s="19"/>
      <c r="AQ28" s="19">
        <f>Table1[[#This Row],[Y_Acryl_Fa]]/2.5</f>
        <v>0.16719999999999999</v>
      </c>
      <c r="AR28" s="19">
        <v>0.41799999999999998</v>
      </c>
      <c r="AS28" s="28">
        <f t="shared" si="4"/>
        <v>4.2586436228661348</v>
      </c>
      <c r="AT28" s="29"/>
      <c r="AU28" s="10" t="s">
        <v>36</v>
      </c>
      <c r="AV28" s="19" t="s">
        <v>122</v>
      </c>
      <c r="AW28" s="10" t="s">
        <v>102</v>
      </c>
      <c r="AX28" s="10">
        <v>2019</v>
      </c>
      <c r="AY28" s="10">
        <v>3</v>
      </c>
      <c r="AZ28" s="10"/>
      <c r="BA28" s="20">
        <v>0.50940713192178644</v>
      </c>
      <c r="BB28" s="20">
        <v>1.2735178298044663</v>
      </c>
      <c r="BC28" s="20">
        <f>BA28*60*AR28/AY28</f>
        <v>4.258643622866134</v>
      </c>
      <c r="BD28" s="20">
        <f>BB28*60*AQ28/AY28</f>
        <v>4.2586436228661348</v>
      </c>
    </row>
    <row r="29" spans="1:56" s="18" customFormat="1">
      <c r="A29" s="10">
        <v>28</v>
      </c>
      <c r="B29" s="13">
        <v>0</v>
      </c>
      <c r="C29" s="10"/>
      <c r="D29" s="10"/>
      <c r="E29" s="27"/>
      <c r="F29" s="10"/>
      <c r="G29" s="10"/>
      <c r="H29" s="27"/>
      <c r="I29" s="10" t="s">
        <v>205</v>
      </c>
      <c r="J29" s="10">
        <v>1</v>
      </c>
      <c r="K29" s="10"/>
      <c r="L29" s="10"/>
      <c r="M29" s="10" t="s">
        <v>7</v>
      </c>
      <c r="N29" s="10">
        <v>1.05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50">
        <v>14.4</v>
      </c>
      <c r="Z29" s="50"/>
      <c r="AA29" s="10"/>
      <c r="AB29" s="10">
        <v>1</v>
      </c>
      <c r="AC29" s="20">
        <f t="shared" si="3"/>
        <v>0.03</v>
      </c>
      <c r="AD29" s="10" t="s">
        <v>43</v>
      </c>
      <c r="AE29" s="10" t="s">
        <v>210</v>
      </c>
      <c r="AF29" s="10" t="s">
        <v>95</v>
      </c>
      <c r="AG29" s="10">
        <v>2.5</v>
      </c>
      <c r="AH29" s="10">
        <v>0</v>
      </c>
      <c r="AI29" s="27">
        <f t="shared" ref="AI29:AI34" si="5">1.33/3</f>
        <v>0.44333333333333336</v>
      </c>
      <c r="AJ29" s="27"/>
      <c r="AK29" s="10">
        <v>1</v>
      </c>
      <c r="AL29" s="10">
        <v>633</v>
      </c>
      <c r="AM29" s="19"/>
      <c r="AN29" s="19"/>
      <c r="AO29" s="19">
        <v>0.38500000000000001</v>
      </c>
      <c r="AP29" s="19">
        <f>Table1[[#This Row],[Y_Acryl_Fa]]/Table1[[#This Row],[X_Fa]]</f>
        <v>0.97402597402597402</v>
      </c>
      <c r="AQ29" s="19">
        <f>Table1[[#This Row],[Y_Acryl_Fa]]/Table1[[#This Row],[Ratio_Ac_Fa]]</f>
        <v>0.15</v>
      </c>
      <c r="AR29" s="19">
        <v>0.375</v>
      </c>
      <c r="AS29" s="28">
        <f t="shared" si="4"/>
        <v>0.76411069788267971</v>
      </c>
      <c r="AT29" s="29"/>
      <c r="AU29" s="10" t="s">
        <v>36</v>
      </c>
      <c r="AV29" s="19" t="s">
        <v>122</v>
      </c>
      <c r="AW29" s="10" t="s">
        <v>102</v>
      </c>
      <c r="AX29" s="10">
        <v>2019</v>
      </c>
      <c r="AY29" s="10">
        <v>3</v>
      </c>
      <c r="AZ29" s="10"/>
      <c r="BA29" s="20">
        <v>0.10188142638435729</v>
      </c>
      <c r="BB29" s="20">
        <v>0.25470356596089322</v>
      </c>
      <c r="BC29" s="20">
        <f>BA29*60*AR29/AY29</f>
        <v>0.76411069788267971</v>
      </c>
      <c r="BD29" s="20">
        <f>BB29*60*AQ29/AY29</f>
        <v>0.7641106978826796</v>
      </c>
    </row>
    <row r="30" spans="1:56" s="18" customFormat="1">
      <c r="A30" s="10">
        <v>29</v>
      </c>
      <c r="B30" s="13">
        <v>0</v>
      </c>
      <c r="C30" s="10"/>
      <c r="D30" s="10"/>
      <c r="E30" s="27"/>
      <c r="F30" s="10"/>
      <c r="G30" s="10"/>
      <c r="H30" s="27"/>
      <c r="I30" s="10" t="s">
        <v>205</v>
      </c>
      <c r="J30" s="10">
        <v>1</v>
      </c>
      <c r="K30" s="10"/>
      <c r="L30" s="10"/>
      <c r="M30" s="10" t="s">
        <v>7</v>
      </c>
      <c r="N30" s="10">
        <v>1.05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50">
        <v>5.0999999999999996</v>
      </c>
      <c r="Z30" s="50"/>
      <c r="AA30" s="10"/>
      <c r="AB30" s="10">
        <v>1</v>
      </c>
      <c r="AC30" s="20">
        <f t="shared" si="3"/>
        <v>0.03</v>
      </c>
      <c r="AD30" s="10" t="s">
        <v>43</v>
      </c>
      <c r="AE30" s="10" t="s">
        <v>210</v>
      </c>
      <c r="AF30" s="10" t="s">
        <v>95</v>
      </c>
      <c r="AG30" s="10">
        <v>2.5</v>
      </c>
      <c r="AH30" s="10">
        <v>0</v>
      </c>
      <c r="AI30" s="27">
        <f t="shared" si="5"/>
        <v>0.44333333333333336</v>
      </c>
      <c r="AJ30" s="27"/>
      <c r="AK30" s="10">
        <v>1</v>
      </c>
      <c r="AL30" s="10">
        <v>633</v>
      </c>
      <c r="AM30" s="19"/>
      <c r="AN30" s="19"/>
      <c r="AO30" s="19">
        <v>0.57499999999999996</v>
      </c>
      <c r="AP30" s="19">
        <f>Table1[[#This Row],[Y_Acryl_Fa]]/Table1[[#This Row],[X_Fa]]</f>
        <v>0.95130434782608708</v>
      </c>
      <c r="AQ30" s="19">
        <f>Table1[[#This Row],[Y_Acryl_Fa]]/Table1[[#This Row],[Ratio_Ac_Fa]]</f>
        <v>0.21880000000000002</v>
      </c>
      <c r="AR30" s="19">
        <v>0.54700000000000004</v>
      </c>
      <c r="AS30" s="28">
        <f t="shared" si="4"/>
        <v>1.1145828046448689</v>
      </c>
      <c r="AT30" s="29"/>
      <c r="AU30" s="10" t="s">
        <v>36</v>
      </c>
      <c r="AV30" s="19" t="s">
        <v>122</v>
      </c>
      <c r="AW30" s="10" t="s">
        <v>102</v>
      </c>
      <c r="AX30" s="10">
        <v>2019</v>
      </c>
      <c r="AY30" s="10">
        <v>3</v>
      </c>
      <c r="AZ30" s="10"/>
      <c r="BA30" s="20">
        <v>0.10188142638435729</v>
      </c>
      <c r="BB30" s="20">
        <v>0.25470356596089322</v>
      </c>
      <c r="BC30" s="20">
        <f>BA30*60*AR30/AY30</f>
        <v>1.1145828046448689</v>
      </c>
      <c r="BD30" s="20">
        <f>BB30*60*AQ30/AY30</f>
        <v>1.1145828046448687</v>
      </c>
    </row>
    <row r="31" spans="1:56" s="18" customFormat="1">
      <c r="A31" s="10">
        <v>30</v>
      </c>
      <c r="B31" s="13">
        <v>0</v>
      </c>
      <c r="C31" s="10"/>
      <c r="D31" s="10"/>
      <c r="E31" s="27"/>
      <c r="F31" s="10"/>
      <c r="G31" s="10"/>
      <c r="H31" s="27"/>
      <c r="I31" s="10" t="s">
        <v>205</v>
      </c>
      <c r="J31" s="10">
        <v>1</v>
      </c>
      <c r="K31" s="10"/>
      <c r="L31" s="10"/>
      <c r="M31" s="10" t="s">
        <v>7</v>
      </c>
      <c r="N31" s="10">
        <v>1.05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50">
        <v>5.0999999999999996</v>
      </c>
      <c r="Z31" s="50"/>
      <c r="AA31" s="10"/>
      <c r="AB31" s="10">
        <v>1</v>
      </c>
      <c r="AC31" s="20">
        <f t="shared" si="3"/>
        <v>0.03</v>
      </c>
      <c r="AD31" s="10" t="s">
        <v>43</v>
      </c>
      <c r="AE31" s="10" t="s">
        <v>210</v>
      </c>
      <c r="AF31" s="10" t="s">
        <v>95</v>
      </c>
      <c r="AG31" s="10">
        <v>2.5</v>
      </c>
      <c r="AH31" s="10">
        <v>0</v>
      </c>
      <c r="AI31" s="27">
        <f t="shared" si="5"/>
        <v>0.44333333333333336</v>
      </c>
      <c r="AJ31" s="27"/>
      <c r="AK31" s="10">
        <v>1</v>
      </c>
      <c r="AL31" s="10">
        <v>633</v>
      </c>
      <c r="AM31" s="19"/>
      <c r="AN31" s="19"/>
      <c r="AO31" s="19">
        <v>0.70299999999999996</v>
      </c>
      <c r="AP31" s="19">
        <f>Table1[[#This Row],[Y_Acryl_Fa]]/Table1[[#This Row],[X_Fa]]</f>
        <v>0.9274537695590328</v>
      </c>
      <c r="AQ31" s="19">
        <f>Table1[[#This Row],[Y_Acryl_Fa]]/Table1[[#This Row],[Ratio_Ac_Fa]]</f>
        <v>0.26080000000000003</v>
      </c>
      <c r="AR31" s="19">
        <v>0.65200000000000002</v>
      </c>
      <c r="AS31" s="28">
        <f t="shared" si="4"/>
        <v>1.3285338000520193</v>
      </c>
      <c r="AT31" s="29"/>
      <c r="AU31" s="10" t="s">
        <v>36</v>
      </c>
      <c r="AV31" s="19" t="s">
        <v>122</v>
      </c>
      <c r="AW31" s="10" t="s">
        <v>102</v>
      </c>
      <c r="AX31" s="10">
        <v>2019</v>
      </c>
      <c r="AY31" s="10">
        <v>3</v>
      </c>
      <c r="AZ31" s="10"/>
      <c r="BA31" s="20">
        <v>0.10188142638435729</v>
      </c>
      <c r="BB31" s="20">
        <v>0.25470356596089322</v>
      </c>
      <c r="BC31" s="20">
        <f>BA31*60*AR31/AY31</f>
        <v>1.3285338000520193</v>
      </c>
      <c r="BD31" s="20">
        <f>BB31*60*AQ31/AY31</f>
        <v>1.3285338000520193</v>
      </c>
    </row>
    <row r="32" spans="1:56" s="18" customFormat="1">
      <c r="A32" s="10">
        <v>31</v>
      </c>
      <c r="B32" s="13">
        <v>0</v>
      </c>
      <c r="C32" s="10"/>
      <c r="D32" s="10"/>
      <c r="E32" s="27"/>
      <c r="F32" s="10"/>
      <c r="G32" s="10"/>
      <c r="H32" s="27"/>
      <c r="I32" s="10" t="s">
        <v>205</v>
      </c>
      <c r="J32" s="10">
        <v>1</v>
      </c>
      <c r="K32" s="10"/>
      <c r="L32" s="10"/>
      <c r="M32" s="10" t="s">
        <v>7</v>
      </c>
      <c r="N32" s="10">
        <v>1.05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50">
        <v>16.2</v>
      </c>
      <c r="Z32" s="50"/>
      <c r="AA32" s="10"/>
      <c r="AB32" s="10">
        <v>1</v>
      </c>
      <c r="AC32" s="20">
        <f t="shared" si="3"/>
        <v>0.03</v>
      </c>
      <c r="AD32" s="10" t="s">
        <v>43</v>
      </c>
      <c r="AE32" s="10" t="s">
        <v>210</v>
      </c>
      <c r="AF32" s="10" t="s">
        <v>95</v>
      </c>
      <c r="AG32" s="10">
        <v>2.5</v>
      </c>
      <c r="AH32" s="10">
        <v>0</v>
      </c>
      <c r="AI32" s="27">
        <f t="shared" si="5"/>
        <v>0.44333333333333336</v>
      </c>
      <c r="AJ32" s="27"/>
      <c r="AK32" s="10">
        <v>1</v>
      </c>
      <c r="AL32" s="10">
        <v>633</v>
      </c>
      <c r="AM32" s="19"/>
      <c r="AN32" s="19"/>
      <c r="AO32" s="19">
        <v>0.68900000000000006</v>
      </c>
      <c r="AP32" s="19">
        <f>Table1[[#This Row],[Y_Acryl_Fa]]/Table1[[#This Row],[X_Fa]]</f>
        <v>0.93904208998548622</v>
      </c>
      <c r="AQ32" s="19">
        <f>Table1[[#This Row],[Y_Acryl_Fa]]/Table1[[#This Row],[Ratio_Ac_Fa]]</f>
        <v>0.25880000000000003</v>
      </c>
      <c r="AR32" s="19">
        <v>0.64700000000000002</v>
      </c>
      <c r="AS32" s="28">
        <f t="shared" si="4"/>
        <v>1.3183456574135834</v>
      </c>
      <c r="AT32" s="29"/>
      <c r="AU32" s="10" t="s">
        <v>36</v>
      </c>
      <c r="AV32" s="19" t="s">
        <v>122</v>
      </c>
      <c r="AW32" s="10" t="s">
        <v>102</v>
      </c>
      <c r="AX32" s="10">
        <v>2019</v>
      </c>
      <c r="AY32" s="10">
        <v>3</v>
      </c>
      <c r="AZ32" s="10"/>
      <c r="BA32" s="20">
        <v>0.10188142638435729</v>
      </c>
      <c r="BB32" s="20">
        <v>0.25470356596089322</v>
      </c>
      <c r="BC32" s="20">
        <f>BA32*60*AR32/AY32</f>
        <v>1.3183456574135834</v>
      </c>
      <c r="BD32" s="20">
        <f>BB32*60*AQ32/AY32</f>
        <v>1.3183456574135834</v>
      </c>
    </row>
    <row r="33" spans="1:56" s="18" customFormat="1">
      <c r="A33" s="10">
        <v>32</v>
      </c>
      <c r="B33" s="13">
        <v>0</v>
      </c>
      <c r="C33" s="10"/>
      <c r="D33" s="10"/>
      <c r="E33" s="27"/>
      <c r="F33" s="10"/>
      <c r="G33" s="10"/>
      <c r="H33" s="27"/>
      <c r="I33" s="10" t="s">
        <v>205</v>
      </c>
      <c r="J33" s="10">
        <v>1</v>
      </c>
      <c r="K33" s="10"/>
      <c r="L33" s="10"/>
      <c r="M33" s="10" t="s">
        <v>7</v>
      </c>
      <c r="N33" s="10">
        <v>1.05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50">
        <v>7.5</v>
      </c>
      <c r="Z33" s="50"/>
      <c r="AA33" s="10"/>
      <c r="AB33" s="10">
        <v>1</v>
      </c>
      <c r="AC33" s="20">
        <f t="shared" si="3"/>
        <v>0.03</v>
      </c>
      <c r="AD33" s="10" t="s">
        <v>43</v>
      </c>
      <c r="AE33" s="10" t="s">
        <v>210</v>
      </c>
      <c r="AF33" s="10" t="s">
        <v>95</v>
      </c>
      <c r="AG33" s="10">
        <v>2.5</v>
      </c>
      <c r="AH33" s="10">
        <v>0</v>
      </c>
      <c r="AI33" s="27">
        <f t="shared" si="5"/>
        <v>0.44333333333333336</v>
      </c>
      <c r="AJ33" s="27"/>
      <c r="AK33" s="10">
        <v>1</v>
      </c>
      <c r="AL33" s="10">
        <v>633</v>
      </c>
      <c r="AM33" s="19"/>
      <c r="AN33" s="19"/>
      <c r="AO33" s="19">
        <v>0.752</v>
      </c>
      <c r="AP33" s="19">
        <f>Table1[[#This Row],[Y_Acryl_Fa]]/Table1[[#This Row],[X_Fa]]</f>
        <v>0.93218085106382975</v>
      </c>
      <c r="AQ33" s="19">
        <f>Table1[[#This Row],[Y_Acryl_Fa]]/Table1[[#This Row],[Ratio_Ac_Fa]]</f>
        <v>0.28039999999999998</v>
      </c>
      <c r="AR33" s="19">
        <v>0.70099999999999996</v>
      </c>
      <c r="AS33" s="28">
        <f t="shared" si="4"/>
        <v>1.428377597908689</v>
      </c>
      <c r="AT33" s="29"/>
      <c r="AU33" s="10" t="s">
        <v>36</v>
      </c>
      <c r="AV33" s="19" t="s">
        <v>122</v>
      </c>
      <c r="AW33" s="10" t="s">
        <v>102</v>
      </c>
      <c r="AX33" s="10">
        <v>2019</v>
      </c>
      <c r="AY33" s="10">
        <v>3</v>
      </c>
      <c r="AZ33" s="10"/>
      <c r="BA33" s="20">
        <v>0.10188142638435729</v>
      </c>
      <c r="BB33" s="20">
        <v>0.25470356596089322</v>
      </c>
      <c r="BC33" s="20">
        <f>BA33*60*AR33/AY33</f>
        <v>1.4283775979086892</v>
      </c>
      <c r="BD33" s="20">
        <f>BB33*60*AQ33/AY33</f>
        <v>1.428377597908689</v>
      </c>
    </row>
    <row r="34" spans="1:56" s="18" customFormat="1">
      <c r="A34" s="10">
        <v>33</v>
      </c>
      <c r="B34" s="13">
        <v>0</v>
      </c>
      <c r="C34" s="10"/>
      <c r="D34" s="10"/>
      <c r="E34" s="27"/>
      <c r="F34" s="10"/>
      <c r="G34" s="10"/>
      <c r="H34" s="27"/>
      <c r="I34" s="10" t="s">
        <v>205</v>
      </c>
      <c r="J34" s="10">
        <v>1</v>
      </c>
      <c r="K34" s="10"/>
      <c r="L34" s="10"/>
      <c r="M34" s="10" t="s">
        <v>7</v>
      </c>
      <c r="N34" s="10">
        <v>1.05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50">
        <v>4</v>
      </c>
      <c r="Z34" s="50"/>
      <c r="AA34" s="10"/>
      <c r="AB34" s="10">
        <v>1</v>
      </c>
      <c r="AC34" s="20">
        <f t="shared" si="3"/>
        <v>0.03</v>
      </c>
      <c r="AD34" s="10" t="s">
        <v>43</v>
      </c>
      <c r="AE34" s="10" t="s">
        <v>210</v>
      </c>
      <c r="AF34" s="10" t="s">
        <v>95</v>
      </c>
      <c r="AG34" s="10">
        <v>2.5</v>
      </c>
      <c r="AH34" s="10">
        <v>0</v>
      </c>
      <c r="AI34" s="27">
        <f t="shared" si="5"/>
        <v>0.44333333333333336</v>
      </c>
      <c r="AJ34" s="27"/>
      <c r="AK34" s="10">
        <v>1</v>
      </c>
      <c r="AL34" s="10">
        <v>633</v>
      </c>
      <c r="AM34" s="19"/>
      <c r="AN34" s="19"/>
      <c r="AO34" s="19">
        <v>0.57600000000000007</v>
      </c>
      <c r="AP34" s="19">
        <f>Table1[[#This Row],[Y_Acryl_Fa]]/Table1[[#This Row],[X_Fa]]</f>
        <v>0.94618055555555547</v>
      </c>
      <c r="AQ34" s="19">
        <f>Table1[[#This Row],[Y_Acryl_Fa]]/Table1[[#This Row],[Ratio_Ac_Fa]]</f>
        <v>0.21800000000000003</v>
      </c>
      <c r="AR34" s="19">
        <v>0.54500000000000004</v>
      </c>
      <c r="AS34" s="28">
        <f t="shared" si="4"/>
        <v>1.1105075475894945</v>
      </c>
      <c r="AT34" s="29"/>
      <c r="AU34" s="10" t="s">
        <v>36</v>
      </c>
      <c r="AV34" s="19" t="s">
        <v>122</v>
      </c>
      <c r="AW34" s="10" t="s">
        <v>102</v>
      </c>
      <c r="AX34" s="10">
        <v>2019</v>
      </c>
      <c r="AY34" s="10">
        <v>3</v>
      </c>
      <c r="AZ34" s="10"/>
      <c r="BA34" s="20">
        <v>0.10188142638435729</v>
      </c>
      <c r="BB34" s="20">
        <v>0.25470356596089322</v>
      </c>
      <c r="BC34" s="20">
        <f>BA34*60*AR34/AY34</f>
        <v>1.1105075475894945</v>
      </c>
      <c r="BD34" s="20">
        <f>BB34*60*AQ34/AY34</f>
        <v>1.1105075475894945</v>
      </c>
    </row>
    <row r="35" spans="1:56" s="18" customFormat="1">
      <c r="A35" s="10">
        <v>34</v>
      </c>
      <c r="B35" s="13">
        <f t="shared" ref="B35:B41" si="6">1-0.33</f>
        <v>0.66999999999999993</v>
      </c>
      <c r="C35" s="10" t="s">
        <v>10</v>
      </c>
      <c r="D35" s="10"/>
      <c r="E35" s="27">
        <v>1</v>
      </c>
      <c r="F35" s="10"/>
      <c r="G35" s="10"/>
      <c r="H35" s="27"/>
      <c r="I35" s="10" t="s">
        <v>205</v>
      </c>
      <c r="J35" s="10">
        <v>1</v>
      </c>
      <c r="K35" s="10"/>
      <c r="L35" s="10"/>
      <c r="M35" s="10" t="s">
        <v>7</v>
      </c>
      <c r="N35" s="10">
        <v>1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50">
        <v>87</v>
      </c>
      <c r="Z35" s="10">
        <v>542</v>
      </c>
      <c r="AA35" s="10" t="s">
        <v>17</v>
      </c>
      <c r="AB35" s="10">
        <v>1</v>
      </c>
      <c r="AC35" s="20">
        <f>4.5/(95.5+4.5)</f>
        <v>4.4999999999999998E-2</v>
      </c>
      <c r="AD35" s="10" t="s">
        <v>43</v>
      </c>
      <c r="AE35" s="10" t="s">
        <v>210</v>
      </c>
      <c r="AF35" s="10" t="s">
        <v>95</v>
      </c>
      <c r="AG35" s="10">
        <v>3</v>
      </c>
      <c r="AH35" s="10">
        <v>0</v>
      </c>
      <c r="AI35" s="27">
        <v>0.44</v>
      </c>
      <c r="AJ35" s="27"/>
      <c r="AK35" s="10">
        <v>1</v>
      </c>
      <c r="AL35" s="10">
        <v>633</v>
      </c>
      <c r="AM35" s="19">
        <v>0.43</v>
      </c>
      <c r="AN35" s="19">
        <v>0.65</v>
      </c>
      <c r="AO35" s="19"/>
      <c r="AP35" s="19"/>
      <c r="AQ35" s="19">
        <f>Table1[[#This Row],[X_Ac]]*Table1[[#This Row],[S_Acryl_Ac]]</f>
        <v>0.27950000000000003</v>
      </c>
      <c r="AR35" s="19">
        <f>Table1[[#This Row],[Y_Acryl_Ac]]*Table1[[#This Row],[Ratio_Ac_Fa]]</f>
        <v>0.83850000000000002</v>
      </c>
      <c r="AS35" s="28">
        <f t="shared" si="4"/>
        <v>1.4985640390159123</v>
      </c>
      <c r="AT35" s="29">
        <v>1</v>
      </c>
      <c r="AU35" s="10" t="s">
        <v>14</v>
      </c>
      <c r="AV35" s="19" t="s">
        <v>147</v>
      </c>
      <c r="AW35" s="10" t="s">
        <v>102</v>
      </c>
      <c r="AX35" s="10">
        <v>2019</v>
      </c>
      <c r="AY35" s="10">
        <v>3</v>
      </c>
      <c r="AZ35" s="10"/>
      <c r="BA35" s="20">
        <v>8.9359811509595252E-2</v>
      </c>
      <c r="BB35" s="20">
        <v>0.26807943452878574</v>
      </c>
      <c r="BC35" s="20">
        <f>BA35*60*AR35/AY35</f>
        <v>1.4985640390159123</v>
      </c>
      <c r="BD35" s="20">
        <f>BB35*60*AQ35/AY35</f>
        <v>1.4985640390159125</v>
      </c>
    </row>
    <row r="36" spans="1:56" s="18" customFormat="1">
      <c r="A36" s="10">
        <v>35</v>
      </c>
      <c r="B36" s="13">
        <f t="shared" si="6"/>
        <v>0.66999999999999993</v>
      </c>
      <c r="C36" s="10" t="s">
        <v>10</v>
      </c>
      <c r="D36" s="10"/>
      <c r="E36" s="27">
        <v>1</v>
      </c>
      <c r="F36" s="10"/>
      <c r="G36" s="10"/>
      <c r="H36" s="27"/>
      <c r="I36" s="10" t="s">
        <v>205</v>
      </c>
      <c r="J36" s="10">
        <v>1</v>
      </c>
      <c r="K36" s="10"/>
      <c r="L36" s="10"/>
      <c r="M36" s="10" t="s">
        <v>7</v>
      </c>
      <c r="N36" s="10">
        <v>1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50">
        <v>87</v>
      </c>
      <c r="Z36" s="10">
        <v>542</v>
      </c>
      <c r="AA36" s="10" t="s">
        <v>17</v>
      </c>
      <c r="AB36" s="10">
        <v>1</v>
      </c>
      <c r="AC36" s="20">
        <f>2.25/(97.75+2.25)</f>
        <v>2.2499999999999999E-2</v>
      </c>
      <c r="AD36" s="10" t="s">
        <v>43</v>
      </c>
      <c r="AE36" s="10" t="s">
        <v>210</v>
      </c>
      <c r="AF36" s="10" t="s">
        <v>95</v>
      </c>
      <c r="AG36" s="10">
        <v>3</v>
      </c>
      <c r="AH36" s="10">
        <v>0</v>
      </c>
      <c r="AI36" s="27">
        <v>0.44</v>
      </c>
      <c r="AJ36" s="27"/>
      <c r="AK36" s="10">
        <v>1</v>
      </c>
      <c r="AL36" s="10">
        <v>633</v>
      </c>
      <c r="AM36" s="19">
        <v>0.375</v>
      </c>
      <c r="AN36" s="19">
        <v>0.66</v>
      </c>
      <c r="AO36" s="19"/>
      <c r="AP36" s="19"/>
      <c r="AQ36" s="19">
        <f>Table1[[#This Row],[X_Ac]]*Table1[[#This Row],[S_Acryl_Ac]]</f>
        <v>0.2475</v>
      </c>
      <c r="AR36" s="19">
        <f>Table1[[#This Row],[Y_Acryl_Ac]]*Table1[[#This Row],[Ratio_Ac_Fa]]</f>
        <v>0.74249999999999994</v>
      </c>
      <c r="AS36" s="28">
        <f t="shared" si="4"/>
        <v>1.3269932009174894</v>
      </c>
      <c r="AT36" s="29"/>
      <c r="AU36" s="10" t="s">
        <v>14</v>
      </c>
      <c r="AV36" s="19" t="s">
        <v>147</v>
      </c>
      <c r="AW36" s="10" t="s">
        <v>102</v>
      </c>
      <c r="AX36" s="10">
        <v>2019</v>
      </c>
      <c r="AY36" s="10">
        <v>3</v>
      </c>
      <c r="AZ36" s="10"/>
      <c r="BA36" s="20">
        <v>8.9359811509595252E-2</v>
      </c>
      <c r="BB36" s="20">
        <v>0.26807943452878574</v>
      </c>
      <c r="BC36" s="20">
        <f>BA36*60*AR36/AY36</f>
        <v>1.3269932009174894</v>
      </c>
      <c r="BD36" s="20">
        <f>BB36*60*AQ36/AY36</f>
        <v>1.3269932009174894</v>
      </c>
    </row>
    <row r="37" spans="1:56" s="18" customFormat="1">
      <c r="A37" s="10">
        <v>36</v>
      </c>
      <c r="B37" s="13">
        <f t="shared" si="6"/>
        <v>0.66999999999999993</v>
      </c>
      <c r="C37" s="10" t="s">
        <v>10</v>
      </c>
      <c r="D37" s="10"/>
      <c r="E37" s="27">
        <v>1</v>
      </c>
      <c r="F37" s="10"/>
      <c r="G37" s="10"/>
      <c r="H37" s="27"/>
      <c r="I37" s="10" t="s">
        <v>205</v>
      </c>
      <c r="J37" s="10">
        <v>1</v>
      </c>
      <c r="K37" s="10"/>
      <c r="L37" s="10"/>
      <c r="M37" s="10" t="s">
        <v>7</v>
      </c>
      <c r="N37" s="10">
        <v>1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50">
        <v>87</v>
      </c>
      <c r="Z37" s="10">
        <v>542</v>
      </c>
      <c r="AA37" s="10" t="s">
        <v>17</v>
      </c>
      <c r="AB37" s="10">
        <v>1</v>
      </c>
      <c r="AC37" s="20">
        <f>4.5/(95.5+4.5)</f>
        <v>4.4999999999999998E-2</v>
      </c>
      <c r="AD37" s="10" t="s">
        <v>43</v>
      </c>
      <c r="AE37" s="10" t="s">
        <v>210</v>
      </c>
      <c r="AF37" s="10" t="s">
        <v>95</v>
      </c>
      <c r="AG37" s="10">
        <v>3</v>
      </c>
      <c r="AH37" s="10">
        <v>0</v>
      </c>
      <c r="AI37" s="27">
        <v>1.32</v>
      </c>
      <c r="AJ37" s="27"/>
      <c r="AK37" s="10">
        <v>1</v>
      </c>
      <c r="AL37" s="10">
        <v>633</v>
      </c>
      <c r="AM37" s="19">
        <v>0.25</v>
      </c>
      <c r="AN37" s="19">
        <v>0.79</v>
      </c>
      <c r="AO37" s="19"/>
      <c r="AP37" s="19"/>
      <c r="AQ37" s="19">
        <f>Table1[[#This Row],[X_Ac]]*Table1[[#This Row],[S_Acryl_Ac]]</f>
        <v>0.19750000000000001</v>
      </c>
      <c r="AR37" s="19">
        <f>Table1[[#This Row],[Y_Acryl_Ac]]*Table1[[#This Row],[Ratio_Ac_Fa]]</f>
        <v>0.59250000000000003</v>
      </c>
      <c r="AS37" s="28">
        <f t="shared" si="4"/>
        <v>3.2008075211294909</v>
      </c>
      <c r="AT37" s="29"/>
      <c r="AU37" s="10" t="s">
        <v>14</v>
      </c>
      <c r="AV37" s="19" t="s">
        <v>147</v>
      </c>
      <c r="AW37" s="10" t="s">
        <v>102</v>
      </c>
      <c r="AX37" s="10">
        <v>2019</v>
      </c>
      <c r="AY37" s="10">
        <v>3</v>
      </c>
      <c r="AZ37" s="10"/>
      <c r="BA37" s="20">
        <v>0.27011033933582201</v>
      </c>
      <c r="BB37" s="20">
        <v>0.8103310180074661</v>
      </c>
      <c r="BC37" s="20">
        <f>BA37*60*AR37/AY37</f>
        <v>3.2008075211294909</v>
      </c>
      <c r="BD37" s="20">
        <f>BB37*60*AQ37/AY37</f>
        <v>3.2008075211294913</v>
      </c>
    </row>
    <row r="38" spans="1:56" s="18" customFormat="1">
      <c r="A38" s="10">
        <v>37</v>
      </c>
      <c r="B38" s="13">
        <f t="shared" si="6"/>
        <v>0.66999999999999993</v>
      </c>
      <c r="C38" s="10" t="s">
        <v>10</v>
      </c>
      <c r="D38" s="10"/>
      <c r="E38" s="27">
        <v>1</v>
      </c>
      <c r="F38" s="10"/>
      <c r="G38" s="10"/>
      <c r="H38" s="27"/>
      <c r="I38" s="10" t="s">
        <v>205</v>
      </c>
      <c r="J38" s="10">
        <v>1</v>
      </c>
      <c r="K38" s="10"/>
      <c r="L38" s="10"/>
      <c r="M38" s="10" t="s">
        <v>7</v>
      </c>
      <c r="N38" s="10">
        <v>1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50">
        <f>750/542*87</f>
        <v>120.38745387453874</v>
      </c>
      <c r="Z38" s="50">
        <v>750</v>
      </c>
      <c r="AA38" s="10" t="s">
        <v>17</v>
      </c>
      <c r="AB38" s="10">
        <v>1</v>
      </c>
      <c r="AC38" s="20">
        <f>4.5/(95.5+4.5)</f>
        <v>4.4999999999999998E-2</v>
      </c>
      <c r="AD38" s="10" t="s">
        <v>43</v>
      </c>
      <c r="AE38" s="10" t="s">
        <v>210</v>
      </c>
      <c r="AF38" s="10" t="s">
        <v>95</v>
      </c>
      <c r="AG38" s="10">
        <v>3</v>
      </c>
      <c r="AH38" s="10">
        <v>0</v>
      </c>
      <c r="AI38" s="27">
        <v>0.44</v>
      </c>
      <c r="AJ38" s="27"/>
      <c r="AK38" s="10">
        <v>1</v>
      </c>
      <c r="AL38" s="10">
        <v>633</v>
      </c>
      <c r="AM38" s="19">
        <v>0.28699999999999998</v>
      </c>
      <c r="AN38" s="19">
        <v>0.71</v>
      </c>
      <c r="AO38" s="19"/>
      <c r="AP38" s="19"/>
      <c r="AQ38" s="19">
        <f>Table1[[#This Row],[X_Ac]]*Table1[[#This Row],[S_Acryl_Ac]]</f>
        <v>0.20376999999999998</v>
      </c>
      <c r="AR38" s="19">
        <f>Table1[[#This Row],[Y_Acryl_Ac]]*Table1[[#This Row],[Ratio_Ac_Fa]]</f>
        <v>0.61130999999999991</v>
      </c>
      <c r="AS38" s="28">
        <f t="shared" si="4"/>
        <v>1.0925309274786132</v>
      </c>
      <c r="AT38" s="29"/>
      <c r="AU38" s="10" t="s">
        <v>14</v>
      </c>
      <c r="AV38" s="19" t="s">
        <v>122</v>
      </c>
      <c r="AW38" s="10" t="s">
        <v>102</v>
      </c>
      <c r="AX38" s="10">
        <v>2019</v>
      </c>
      <c r="AY38" s="10">
        <v>3</v>
      </c>
      <c r="AZ38" s="10"/>
      <c r="BA38" s="20">
        <v>8.9359811509595252E-2</v>
      </c>
      <c r="BB38" s="20">
        <v>0.26807943452878574</v>
      </c>
      <c r="BC38" s="20">
        <f>BA38*60*AR38/AY38</f>
        <v>1.0925309274786132</v>
      </c>
      <c r="BD38" s="20">
        <f>BB38*60*AQ38/AY38</f>
        <v>1.0925309274786132</v>
      </c>
    </row>
    <row r="39" spans="1:56" s="18" customFormat="1">
      <c r="A39" s="10">
        <v>38</v>
      </c>
      <c r="B39" s="13">
        <f t="shared" si="6"/>
        <v>0.66999999999999993</v>
      </c>
      <c r="C39" s="10" t="s">
        <v>10</v>
      </c>
      <c r="D39" s="10"/>
      <c r="E39" s="27">
        <v>1</v>
      </c>
      <c r="F39" s="10"/>
      <c r="G39" s="10"/>
      <c r="H39" s="27"/>
      <c r="I39" s="10" t="s">
        <v>205</v>
      </c>
      <c r="J39" s="10">
        <v>1</v>
      </c>
      <c r="K39" s="10"/>
      <c r="L39" s="10"/>
      <c r="M39" s="10" t="s">
        <v>7</v>
      </c>
      <c r="N39" s="10">
        <v>1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50">
        <f>1000/542*87</f>
        <v>160.51660516605168</v>
      </c>
      <c r="Z39" s="50">
        <v>1000</v>
      </c>
      <c r="AA39" s="10" t="s">
        <v>17</v>
      </c>
      <c r="AB39" s="10">
        <v>1</v>
      </c>
      <c r="AC39" s="20">
        <f>4.5/(95.5+4.5)</f>
        <v>4.4999999999999998E-2</v>
      </c>
      <c r="AD39" s="10" t="s">
        <v>43</v>
      </c>
      <c r="AE39" s="10" t="s">
        <v>210</v>
      </c>
      <c r="AF39" s="10" t="s">
        <v>95</v>
      </c>
      <c r="AG39" s="10">
        <v>3</v>
      </c>
      <c r="AH39" s="10">
        <v>0</v>
      </c>
      <c r="AI39" s="27">
        <v>0.44</v>
      </c>
      <c r="AJ39" s="27"/>
      <c r="AK39" s="10">
        <v>1</v>
      </c>
      <c r="AL39" s="10">
        <v>633</v>
      </c>
      <c r="AM39" s="19">
        <v>0.24399999999999999</v>
      </c>
      <c r="AN39" s="19">
        <v>0.67900000000000005</v>
      </c>
      <c r="AO39" s="19"/>
      <c r="AP39" s="19"/>
      <c r="AQ39" s="19">
        <f>Table1[[#This Row],[X_Ac]]*Table1[[#This Row],[S_Acryl_Ac]]</f>
        <v>0.16567600000000002</v>
      </c>
      <c r="AR39" s="19">
        <f>Table1[[#This Row],[Y_Acryl_Ac]]*Table1[[#This Row],[Ratio_Ac_Fa]]</f>
        <v>0.49702800000000003</v>
      </c>
      <c r="AS39" s="28">
        <f t="shared" si="4"/>
        <v>0.88828656789982219</v>
      </c>
      <c r="AT39" s="29"/>
      <c r="AU39" s="10" t="s">
        <v>14</v>
      </c>
      <c r="AV39" s="19" t="s">
        <v>122</v>
      </c>
      <c r="AW39" s="10" t="s">
        <v>102</v>
      </c>
      <c r="AX39" s="10">
        <v>2019</v>
      </c>
      <c r="AY39" s="10">
        <v>3</v>
      </c>
      <c r="AZ39" s="10"/>
      <c r="BA39" s="20">
        <v>8.9359811509595252E-2</v>
      </c>
      <c r="BB39" s="20">
        <v>0.26807943452878574</v>
      </c>
      <c r="BC39" s="20">
        <f>BA39*60*AR39/AY39</f>
        <v>0.88828656789982219</v>
      </c>
      <c r="BD39" s="20">
        <f>BB39*60*AQ39/AY39</f>
        <v>0.8882865678998223</v>
      </c>
    </row>
    <row r="40" spans="1:56" s="18" customFormat="1">
      <c r="A40" s="10">
        <v>39</v>
      </c>
      <c r="B40" s="13">
        <f t="shared" si="6"/>
        <v>0.66999999999999993</v>
      </c>
      <c r="C40" s="10" t="s">
        <v>10</v>
      </c>
      <c r="D40" s="10"/>
      <c r="E40" s="27">
        <v>1</v>
      </c>
      <c r="F40" s="10"/>
      <c r="G40" s="10"/>
      <c r="H40" s="27"/>
      <c r="I40" s="10" t="s">
        <v>205</v>
      </c>
      <c r="J40" s="10">
        <v>1</v>
      </c>
      <c r="K40" s="10"/>
      <c r="L40" s="10"/>
      <c r="M40" s="10" t="s">
        <v>7</v>
      </c>
      <c r="N40" s="10">
        <v>1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50">
        <v>87</v>
      </c>
      <c r="Z40" s="10">
        <v>542</v>
      </c>
      <c r="AA40" s="10" t="s">
        <v>17</v>
      </c>
      <c r="AB40" s="10">
        <v>1</v>
      </c>
      <c r="AC40" s="20">
        <f>2.25/(97.75+2.25)</f>
        <v>2.2499999999999999E-2</v>
      </c>
      <c r="AD40" s="10" t="s">
        <v>43</v>
      </c>
      <c r="AE40" s="10" t="s">
        <v>211</v>
      </c>
      <c r="AF40" s="10" t="s">
        <v>95</v>
      </c>
      <c r="AG40" s="10">
        <v>2.5</v>
      </c>
      <c r="AH40" s="10">
        <v>0</v>
      </c>
      <c r="AI40" s="27">
        <v>0.44</v>
      </c>
      <c r="AJ40" s="27"/>
      <c r="AK40" s="10">
        <v>1</v>
      </c>
      <c r="AL40" s="10">
        <v>633</v>
      </c>
      <c r="AM40" s="19">
        <v>0.4299</v>
      </c>
      <c r="AN40" s="19">
        <v>0.48809999999999998</v>
      </c>
      <c r="AO40" s="19"/>
      <c r="AP40" s="19"/>
      <c r="AQ40" s="19">
        <f>Table1[[#This Row],[X_Ac]]*Table1[[#This Row],[S_Acryl_Ac]]</f>
        <v>0.20983419</v>
      </c>
      <c r="AR40" s="19">
        <f>Table1[[#This Row],[Y_Acryl_Ac]]*Table1[[#This Row],[Ratio_Ac_Fa]]</f>
        <v>0.52458547499999997</v>
      </c>
      <c r="AS40" s="28">
        <f t="shared" si="4"/>
        <v>1.6128404452356371</v>
      </c>
      <c r="AT40" s="29"/>
      <c r="AU40" s="10" t="s">
        <v>14</v>
      </c>
      <c r="AV40" s="19" t="s">
        <v>122</v>
      </c>
      <c r="AW40" s="10" t="s">
        <v>102</v>
      </c>
      <c r="AX40" s="10">
        <v>2019</v>
      </c>
      <c r="AY40" s="10">
        <v>3</v>
      </c>
      <c r="AZ40" s="10"/>
      <c r="BA40" s="20">
        <v>0.15372522897585347</v>
      </c>
      <c r="BB40" s="20">
        <v>0.3843130724396337</v>
      </c>
      <c r="BC40" s="20">
        <f>BA40*60*AR40/AY40</f>
        <v>1.6128404452356371</v>
      </c>
      <c r="BD40" s="20">
        <f>BB40*60*AQ40/AY40</f>
        <v>1.6128404452356373</v>
      </c>
    </row>
    <row r="41" spans="1:56" s="18" customFormat="1">
      <c r="A41" s="10">
        <v>40</v>
      </c>
      <c r="B41" s="13">
        <f t="shared" si="6"/>
        <v>0.66999999999999993</v>
      </c>
      <c r="C41" s="10" t="s">
        <v>10</v>
      </c>
      <c r="D41" s="10"/>
      <c r="E41" s="27">
        <v>1</v>
      </c>
      <c r="F41" s="10"/>
      <c r="G41" s="10"/>
      <c r="H41" s="27"/>
      <c r="I41" s="10" t="s">
        <v>205</v>
      </c>
      <c r="J41" s="10">
        <v>1</v>
      </c>
      <c r="K41" s="10"/>
      <c r="L41" s="10"/>
      <c r="M41" s="10" t="s">
        <v>7</v>
      </c>
      <c r="N41" s="10">
        <v>1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50">
        <v>87</v>
      </c>
      <c r="Z41" s="10">
        <v>542</v>
      </c>
      <c r="AA41" s="10" t="s">
        <v>17</v>
      </c>
      <c r="AB41" s="10">
        <v>1</v>
      </c>
      <c r="AC41" s="20">
        <f>2.25/(97.75+2.25)</f>
        <v>2.2499999999999999E-2</v>
      </c>
      <c r="AD41" s="10" t="s">
        <v>43</v>
      </c>
      <c r="AE41" s="10" t="s">
        <v>175</v>
      </c>
      <c r="AF41" s="10" t="s">
        <v>95</v>
      </c>
      <c r="AG41" s="10">
        <v>2.5</v>
      </c>
      <c r="AH41" s="10">
        <v>0</v>
      </c>
      <c r="AI41" s="27">
        <v>0.44</v>
      </c>
      <c r="AJ41" s="27"/>
      <c r="AK41" s="10">
        <v>1</v>
      </c>
      <c r="AL41" s="10">
        <v>633</v>
      </c>
      <c r="AM41" s="19">
        <v>0.64400000000000002</v>
      </c>
      <c r="AN41" s="19">
        <v>0.27800000000000002</v>
      </c>
      <c r="AO41" s="19"/>
      <c r="AP41" s="19"/>
      <c r="AQ41" s="19">
        <f>Table1[[#This Row],[Y_Acryl_Fa]]/Table1[[#This Row],[Ratio_Ac_Fa]]</f>
        <v>0.1784</v>
      </c>
      <c r="AR41" s="19">
        <v>0.44600000000000001</v>
      </c>
      <c r="AS41" s="28">
        <f t="shared" si="4"/>
        <v>0.84736236687924438</v>
      </c>
      <c r="AT41" s="16"/>
      <c r="AU41" s="10" t="s">
        <v>14</v>
      </c>
      <c r="AV41" s="19" t="s">
        <v>122</v>
      </c>
      <c r="AW41" s="10" t="s">
        <v>102</v>
      </c>
      <c r="AX41" s="10">
        <v>2019</v>
      </c>
      <c r="AY41" s="10">
        <v>3</v>
      </c>
      <c r="AZ41" s="10"/>
      <c r="BA41" s="20">
        <v>9.4995781040274035E-2</v>
      </c>
      <c r="BB41" s="20">
        <v>0.2374894526006851</v>
      </c>
      <c r="BC41" s="20">
        <f>BA41*60*AR41/AY41</f>
        <v>0.84736236687924438</v>
      </c>
      <c r="BD41" s="20">
        <f>BB41*60*AQ41/AY41</f>
        <v>0.84736236687924438</v>
      </c>
    </row>
    <row r="42" spans="1:56" s="18" customFormat="1">
      <c r="A42" s="10">
        <v>41</v>
      </c>
      <c r="B42" s="13">
        <v>0</v>
      </c>
      <c r="C42" s="10"/>
      <c r="D42" s="10"/>
      <c r="E42" s="27"/>
      <c r="F42" s="10"/>
      <c r="G42" s="10"/>
      <c r="H42" s="27"/>
      <c r="I42" s="10" t="s">
        <v>205</v>
      </c>
      <c r="J42" s="10">
        <v>1</v>
      </c>
      <c r="K42" s="10"/>
      <c r="L42" s="10"/>
      <c r="M42" s="10" t="s">
        <v>7</v>
      </c>
      <c r="N42" s="10">
        <v>1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50">
        <v>30</v>
      </c>
      <c r="Z42" s="50"/>
      <c r="AA42" s="10" t="s">
        <v>57</v>
      </c>
      <c r="AB42" s="10">
        <v>1</v>
      </c>
      <c r="AC42" s="20">
        <f t="shared" ref="AC42:AC47" si="7">3.9/(96.1+3.9)</f>
        <v>3.9E-2</v>
      </c>
      <c r="AD42" s="10" t="s">
        <v>43</v>
      </c>
      <c r="AE42" s="10" t="s">
        <v>210</v>
      </c>
      <c r="AF42" s="10" t="s">
        <v>95</v>
      </c>
      <c r="AG42" s="10">
        <v>2.5</v>
      </c>
      <c r="AH42" s="10">
        <v>0</v>
      </c>
      <c r="AI42" s="27">
        <f t="shared" ref="AI42:AI47" si="8">4/3</f>
        <v>1.3333333333333333</v>
      </c>
      <c r="AJ42" s="27">
        <f t="shared" ref="AJ42:AJ47" si="9">40/3</f>
        <v>13.333333333333334</v>
      </c>
      <c r="AK42" s="10">
        <v>1</v>
      </c>
      <c r="AL42" s="10">
        <v>633</v>
      </c>
      <c r="AM42" s="19">
        <v>0.17599999999999999</v>
      </c>
      <c r="AN42" s="19">
        <v>0.90500000000000003</v>
      </c>
      <c r="AO42" s="19"/>
      <c r="AP42" s="19"/>
      <c r="AQ42" s="19">
        <v>0.159</v>
      </c>
      <c r="AR42" s="19">
        <f>Table1[[#This Row],[Y_Acryl_Ac]]*Table1[[#This Row],[Ratio_Ac_Fa]]</f>
        <v>0.39750000000000002</v>
      </c>
      <c r="AS42" s="28">
        <f t="shared" si="4"/>
        <v>2.4359619240771142</v>
      </c>
      <c r="AT42" s="29" t="s">
        <v>231</v>
      </c>
      <c r="AU42" s="10" t="s">
        <v>28</v>
      </c>
      <c r="AV42" s="19"/>
      <c r="AW42" s="10" t="s">
        <v>102</v>
      </c>
      <c r="AX42" s="10">
        <v>2020</v>
      </c>
      <c r="AY42" s="10">
        <v>3</v>
      </c>
      <c r="AZ42" s="10"/>
      <c r="BA42" s="20">
        <v>0.30641030491536031</v>
      </c>
      <c r="BB42" s="20">
        <v>0.76602576228840069</v>
      </c>
      <c r="BC42" s="20">
        <f>BA42*60*AR42/AY42</f>
        <v>2.4359619240771146</v>
      </c>
      <c r="BD42" s="20">
        <f>BB42*60*AQ42/AY42</f>
        <v>2.4359619240771142</v>
      </c>
    </row>
    <row r="43" spans="1:56" s="18" customFormat="1" ht="15.6" customHeight="1">
      <c r="A43" s="10">
        <v>42</v>
      </c>
      <c r="B43" s="13">
        <f>1-0.33</f>
        <v>0.66999999999999993</v>
      </c>
      <c r="C43" s="10" t="s">
        <v>10</v>
      </c>
      <c r="D43" s="10"/>
      <c r="E43" s="27">
        <v>1</v>
      </c>
      <c r="F43" s="10"/>
      <c r="G43" s="10"/>
      <c r="H43" s="27"/>
      <c r="I43" s="10" t="s">
        <v>205</v>
      </c>
      <c r="J43" s="10">
        <v>1</v>
      </c>
      <c r="K43" s="10"/>
      <c r="L43" s="10"/>
      <c r="M43" s="10" t="s">
        <v>7</v>
      </c>
      <c r="N43" s="10">
        <v>1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50"/>
      <c r="Z43" s="10">
        <v>542</v>
      </c>
      <c r="AA43" s="10" t="s">
        <v>27</v>
      </c>
      <c r="AB43" s="10">
        <v>1</v>
      </c>
      <c r="AC43" s="20">
        <f t="shared" si="7"/>
        <v>3.9E-2</v>
      </c>
      <c r="AD43" s="10" t="s">
        <v>43</v>
      </c>
      <c r="AE43" s="10" t="s">
        <v>210</v>
      </c>
      <c r="AF43" s="10" t="s">
        <v>95</v>
      </c>
      <c r="AG43" s="10">
        <v>2.5</v>
      </c>
      <c r="AH43" s="10">
        <v>0</v>
      </c>
      <c r="AI43" s="27">
        <f t="shared" si="8"/>
        <v>1.3333333333333333</v>
      </c>
      <c r="AJ43" s="27">
        <f t="shared" si="9"/>
        <v>13.333333333333334</v>
      </c>
      <c r="AK43" s="10">
        <v>1</v>
      </c>
      <c r="AL43" s="10">
        <v>633</v>
      </c>
      <c r="AM43" s="19">
        <v>0.218</v>
      </c>
      <c r="AN43" s="19">
        <v>0.86</v>
      </c>
      <c r="AO43" s="19"/>
      <c r="AP43" s="19"/>
      <c r="AQ43" s="19">
        <v>0.188</v>
      </c>
      <c r="AR43" s="19">
        <f>Table1[[#This Row],[Y_Acryl_Ac]]*Table1[[#This Row],[Ratio_Ac_Fa]]</f>
        <v>0.47</v>
      </c>
      <c r="AS43" s="28">
        <f t="shared" si="4"/>
        <v>2.880256866204387</v>
      </c>
      <c r="AT43" s="29" t="s">
        <v>234</v>
      </c>
      <c r="AU43" s="10" t="s">
        <v>28</v>
      </c>
      <c r="AV43" s="19"/>
      <c r="AW43" s="10" t="s">
        <v>102</v>
      </c>
      <c r="AX43" s="10">
        <v>2020</v>
      </c>
      <c r="AY43" s="10">
        <v>3</v>
      </c>
      <c r="AZ43" s="10"/>
      <c r="BA43" s="20">
        <v>0.30641030491536031</v>
      </c>
      <c r="BB43" s="20">
        <v>0.76602576228840069</v>
      </c>
      <c r="BC43" s="20">
        <f>BA43*60*AR43/AY43</f>
        <v>2.880256866204387</v>
      </c>
      <c r="BD43" s="20">
        <f>BB43*60*AQ43/AY43</f>
        <v>2.880256866204387</v>
      </c>
    </row>
    <row r="44" spans="1:56" s="18" customFormat="1" ht="15.6" customHeight="1">
      <c r="A44" s="10">
        <v>43</v>
      </c>
      <c r="B44" s="13">
        <f>1-0.33</f>
        <v>0.66999999999999993</v>
      </c>
      <c r="C44" s="10" t="s">
        <v>10</v>
      </c>
      <c r="D44" s="10"/>
      <c r="E44" s="27">
        <v>1</v>
      </c>
      <c r="F44" s="10"/>
      <c r="G44" s="10"/>
      <c r="H44" s="27"/>
      <c r="I44" s="10" t="s">
        <v>205</v>
      </c>
      <c r="J44" s="10">
        <v>1</v>
      </c>
      <c r="K44" s="10"/>
      <c r="L44" s="10"/>
      <c r="M44" s="10" t="s">
        <v>7</v>
      </c>
      <c r="N44" s="10">
        <v>1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50"/>
      <c r="Z44" s="10">
        <v>166</v>
      </c>
      <c r="AA44" s="10" t="s">
        <v>27</v>
      </c>
      <c r="AB44" s="10">
        <v>1</v>
      </c>
      <c r="AC44" s="20">
        <f t="shared" si="7"/>
        <v>3.9E-2</v>
      </c>
      <c r="AD44" s="10" t="s">
        <v>43</v>
      </c>
      <c r="AE44" s="10" t="s">
        <v>210</v>
      </c>
      <c r="AF44" s="10" t="s">
        <v>95</v>
      </c>
      <c r="AG44" s="10">
        <v>2.5</v>
      </c>
      <c r="AH44" s="10">
        <v>0</v>
      </c>
      <c r="AI44" s="27">
        <f t="shared" si="8"/>
        <v>1.3333333333333333</v>
      </c>
      <c r="AJ44" s="27">
        <f t="shared" si="9"/>
        <v>13.333333333333334</v>
      </c>
      <c r="AK44" s="10">
        <v>1</v>
      </c>
      <c r="AL44" s="10">
        <v>633</v>
      </c>
      <c r="AM44" s="19">
        <v>0.22800000000000001</v>
      </c>
      <c r="AN44" s="19">
        <v>0.89800000000000002</v>
      </c>
      <c r="AO44" s="19"/>
      <c r="AP44" s="19"/>
      <c r="AQ44" s="19">
        <v>0.20399999999999999</v>
      </c>
      <c r="AR44" s="19">
        <f>Table1[[#This Row],[Y_Acryl_Ac]]*Table1[[#This Row],[Ratio_Ac_Fa]]</f>
        <v>0.51</v>
      </c>
      <c r="AS44" s="28">
        <f t="shared" si="4"/>
        <v>3.1253851101366745</v>
      </c>
      <c r="AT44" s="29" t="s">
        <v>233</v>
      </c>
      <c r="AU44" s="10" t="s">
        <v>28</v>
      </c>
      <c r="AV44" s="19" t="s">
        <v>64</v>
      </c>
      <c r="AW44" s="10" t="s">
        <v>102</v>
      </c>
      <c r="AX44" s="10">
        <v>2020</v>
      </c>
      <c r="AY44" s="10">
        <v>3</v>
      </c>
      <c r="AZ44" s="10"/>
      <c r="BA44" s="20">
        <v>0.30641030491536031</v>
      </c>
      <c r="BB44" s="20">
        <v>0.76602576228840069</v>
      </c>
      <c r="BC44" s="20">
        <f>BA44*60*AR44/AY44</f>
        <v>3.125385110136675</v>
      </c>
      <c r="BD44" s="20">
        <f>BB44*60*AQ44/AY44</f>
        <v>3.1253851101366745</v>
      </c>
    </row>
    <row r="45" spans="1:56" s="18" customFormat="1" ht="15.6" customHeight="1">
      <c r="A45" s="10">
        <v>44</v>
      </c>
      <c r="B45" s="13">
        <f>1-0.33</f>
        <v>0.66999999999999993</v>
      </c>
      <c r="C45" s="10" t="s">
        <v>10</v>
      </c>
      <c r="D45" s="10"/>
      <c r="E45" s="27">
        <v>1</v>
      </c>
      <c r="F45" s="10"/>
      <c r="G45" s="10"/>
      <c r="H45" s="27"/>
      <c r="I45" s="10" t="s">
        <v>205</v>
      </c>
      <c r="J45" s="10">
        <v>1</v>
      </c>
      <c r="K45" s="10"/>
      <c r="L45" s="10"/>
      <c r="M45" s="10" t="s">
        <v>7</v>
      </c>
      <c r="N45" s="10">
        <v>1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50"/>
      <c r="Z45" s="10">
        <v>400</v>
      </c>
      <c r="AA45" s="10" t="s">
        <v>27</v>
      </c>
      <c r="AB45" s="10">
        <v>1</v>
      </c>
      <c r="AC45" s="20">
        <f t="shared" si="7"/>
        <v>3.9E-2</v>
      </c>
      <c r="AD45" s="10" t="s">
        <v>43</v>
      </c>
      <c r="AE45" s="10" t="s">
        <v>210</v>
      </c>
      <c r="AF45" s="10" t="s">
        <v>95</v>
      </c>
      <c r="AG45" s="10">
        <v>2.5</v>
      </c>
      <c r="AH45" s="10">
        <v>0</v>
      </c>
      <c r="AI45" s="27">
        <f t="shared" si="8"/>
        <v>1.3333333333333333</v>
      </c>
      <c r="AJ45" s="27">
        <f t="shared" si="9"/>
        <v>13.333333333333334</v>
      </c>
      <c r="AK45" s="10">
        <v>1</v>
      </c>
      <c r="AL45" s="10">
        <v>633</v>
      </c>
      <c r="AM45" s="19">
        <v>0.19</v>
      </c>
      <c r="AN45" s="19">
        <v>0.83399999999999996</v>
      </c>
      <c r="AO45" s="19"/>
      <c r="AP45" s="19"/>
      <c r="AQ45" s="19">
        <v>0.158</v>
      </c>
      <c r="AR45" s="19">
        <f>Table1[[#This Row],[Y_Acryl_Ac]]*Table1[[#This Row],[Ratio_Ac_Fa]]</f>
        <v>0.39500000000000002</v>
      </c>
      <c r="AS45" s="28">
        <f t="shared" si="4"/>
        <v>2.4206414088313464</v>
      </c>
      <c r="AT45" s="29"/>
      <c r="AU45" s="10" t="s">
        <v>28</v>
      </c>
      <c r="AV45" s="19"/>
      <c r="AW45" s="10" t="s">
        <v>102</v>
      </c>
      <c r="AX45" s="10">
        <v>2020</v>
      </c>
      <c r="AY45" s="10">
        <v>3</v>
      </c>
      <c r="AZ45" s="10"/>
      <c r="BA45" s="20">
        <v>0.30641030491536031</v>
      </c>
      <c r="BB45" s="20">
        <v>0.76602576228840069</v>
      </c>
      <c r="BC45" s="20">
        <f>BA45*60*AR45/AY45</f>
        <v>2.4206414088313468</v>
      </c>
      <c r="BD45" s="20">
        <f>BB45*60*AQ45/AY45</f>
        <v>2.4206414088313464</v>
      </c>
    </row>
    <row r="46" spans="1:56" s="18" customFormat="1" ht="15.6" customHeight="1">
      <c r="A46" s="10">
        <v>45</v>
      </c>
      <c r="B46" s="13">
        <f>1-0.33</f>
        <v>0.66999999999999993</v>
      </c>
      <c r="C46" s="10" t="s">
        <v>10</v>
      </c>
      <c r="D46" s="10"/>
      <c r="E46" s="27">
        <v>1</v>
      </c>
      <c r="F46" s="10"/>
      <c r="G46" s="10"/>
      <c r="H46" s="27"/>
      <c r="I46" s="10" t="s">
        <v>205</v>
      </c>
      <c r="J46" s="10">
        <v>1</v>
      </c>
      <c r="K46" s="10"/>
      <c r="L46" s="10"/>
      <c r="M46" s="10" t="s">
        <v>7</v>
      </c>
      <c r="N46" s="10">
        <v>1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50"/>
      <c r="Z46" s="10">
        <v>100</v>
      </c>
      <c r="AA46" s="10" t="s">
        <v>27</v>
      </c>
      <c r="AB46" s="10">
        <v>1</v>
      </c>
      <c r="AC46" s="20">
        <f t="shared" si="7"/>
        <v>3.9E-2</v>
      </c>
      <c r="AD46" s="10" t="s">
        <v>43</v>
      </c>
      <c r="AE46" s="10" t="s">
        <v>210</v>
      </c>
      <c r="AF46" s="10" t="s">
        <v>95</v>
      </c>
      <c r="AG46" s="10">
        <v>2.5</v>
      </c>
      <c r="AH46" s="10">
        <v>0</v>
      </c>
      <c r="AI46" s="27">
        <f t="shared" si="8"/>
        <v>1.3333333333333333</v>
      </c>
      <c r="AJ46" s="27">
        <f t="shared" si="9"/>
        <v>13.333333333333334</v>
      </c>
      <c r="AK46" s="10">
        <v>1</v>
      </c>
      <c r="AL46" s="10">
        <v>633</v>
      </c>
      <c r="AM46" s="19">
        <v>0.22</v>
      </c>
      <c r="AN46" s="19">
        <v>0.90100000000000002</v>
      </c>
      <c r="AO46" s="19"/>
      <c r="AP46" s="19"/>
      <c r="AQ46" s="19">
        <v>0.19800000000000001</v>
      </c>
      <c r="AR46" s="19">
        <f>Table1[[#This Row],[Y_Acryl_Ac]]*Table1[[#This Row],[Ratio_Ac_Fa]]</f>
        <v>0.495</v>
      </c>
      <c r="AS46" s="28">
        <f t="shared" si="4"/>
        <v>3.0334620186620671</v>
      </c>
      <c r="AT46" s="29"/>
      <c r="AU46" s="10" t="s">
        <v>28</v>
      </c>
      <c r="AV46" s="19"/>
      <c r="AW46" s="10" t="s">
        <v>102</v>
      </c>
      <c r="AX46" s="10">
        <v>2020</v>
      </c>
      <c r="AY46" s="10">
        <v>3</v>
      </c>
      <c r="AZ46" s="10"/>
      <c r="BA46" s="20">
        <v>0.30641030491536031</v>
      </c>
      <c r="BB46" s="20">
        <v>0.76602576228840069</v>
      </c>
      <c r="BC46" s="20">
        <f>BA46*60*AR46/AY46</f>
        <v>3.0334620186620671</v>
      </c>
      <c r="BD46" s="20">
        <f>BB46*60*AQ46/AY46</f>
        <v>3.0334620186620671</v>
      </c>
    </row>
    <row r="47" spans="1:56" s="18" customFormat="1">
      <c r="A47" s="10">
        <v>46</v>
      </c>
      <c r="B47" s="13">
        <v>0</v>
      </c>
      <c r="C47" s="10"/>
      <c r="D47" s="10"/>
      <c r="E47" s="27"/>
      <c r="F47" s="10"/>
      <c r="G47" s="10"/>
      <c r="H47" s="27"/>
      <c r="I47" s="10" t="s">
        <v>205</v>
      </c>
      <c r="J47" s="10">
        <v>1</v>
      </c>
      <c r="K47" s="10"/>
      <c r="L47" s="10"/>
      <c r="M47" s="10" t="s">
        <v>7</v>
      </c>
      <c r="N47" s="10">
        <v>1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50">
        <v>15</v>
      </c>
      <c r="Z47" s="50"/>
      <c r="AA47" s="10" t="s">
        <v>96</v>
      </c>
      <c r="AB47" s="10">
        <v>1</v>
      </c>
      <c r="AC47" s="20">
        <f t="shared" si="7"/>
        <v>3.9E-2</v>
      </c>
      <c r="AD47" s="10" t="s">
        <v>43</v>
      </c>
      <c r="AE47" s="10" t="s">
        <v>210</v>
      </c>
      <c r="AF47" s="10" t="s">
        <v>95</v>
      </c>
      <c r="AG47" s="10">
        <v>2.5</v>
      </c>
      <c r="AH47" s="10">
        <v>0</v>
      </c>
      <c r="AI47" s="27">
        <f t="shared" si="8"/>
        <v>1.3333333333333333</v>
      </c>
      <c r="AJ47" s="27">
        <f t="shared" si="9"/>
        <v>13.333333333333334</v>
      </c>
      <c r="AK47" s="10">
        <v>1</v>
      </c>
      <c r="AL47" s="10">
        <v>633</v>
      </c>
      <c r="AM47" s="19">
        <v>0.248</v>
      </c>
      <c r="AN47" s="19">
        <v>0.85099999999999998</v>
      </c>
      <c r="AO47" s="19"/>
      <c r="AP47" s="19"/>
      <c r="AQ47" s="19">
        <v>0.21199999999999999</v>
      </c>
      <c r="AR47" s="19">
        <f>Table1[[#This Row],[Y_Acryl_Ac]]*Table1[[#This Row],[Ratio_Ac_Fa]]</f>
        <v>0.53</v>
      </c>
      <c r="AS47" s="28">
        <f t="shared" si="4"/>
        <v>3.2479492321028189</v>
      </c>
      <c r="AT47" s="29" t="s">
        <v>232</v>
      </c>
      <c r="AU47" s="10" t="s">
        <v>28</v>
      </c>
      <c r="AV47" s="19" t="s">
        <v>26</v>
      </c>
      <c r="AW47" s="10" t="s">
        <v>102</v>
      </c>
      <c r="AX47" s="10">
        <v>2020</v>
      </c>
      <c r="AY47" s="10">
        <v>3</v>
      </c>
      <c r="AZ47" s="10"/>
      <c r="BA47" s="20">
        <v>0.30641030491536031</v>
      </c>
      <c r="BB47" s="20">
        <v>0.76602576228840069</v>
      </c>
      <c r="BC47" s="20">
        <f>BA47*60*AR47/AY47</f>
        <v>3.2479492321028194</v>
      </c>
      <c r="BD47" s="20">
        <f>BB47*60*AQ47/AY47</f>
        <v>3.2479492321028189</v>
      </c>
    </row>
    <row r="48" spans="1:56" s="18" customFormat="1">
      <c r="A48" s="10">
        <v>47</v>
      </c>
      <c r="B48" s="13">
        <v>0.8</v>
      </c>
      <c r="C48" s="10" t="s">
        <v>11</v>
      </c>
      <c r="D48" s="10"/>
      <c r="E48" s="27">
        <v>1</v>
      </c>
      <c r="F48" s="27"/>
      <c r="G48" s="27"/>
      <c r="H48" s="27"/>
      <c r="I48" s="10" t="s">
        <v>205</v>
      </c>
      <c r="J48" s="10">
        <v>1</v>
      </c>
      <c r="K48" s="10"/>
      <c r="L48" s="10"/>
      <c r="M48" s="10" t="s">
        <v>7</v>
      </c>
      <c r="N48" s="10">
        <v>1.05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50">
        <v>4</v>
      </c>
      <c r="Z48" s="10">
        <v>20</v>
      </c>
      <c r="AA48" s="10" t="s">
        <v>24</v>
      </c>
      <c r="AB48" s="10">
        <v>1</v>
      </c>
      <c r="AC48" s="20">
        <v>0</v>
      </c>
      <c r="AD48" s="10" t="s">
        <v>43</v>
      </c>
      <c r="AE48" s="10" t="s">
        <v>210</v>
      </c>
      <c r="AF48" s="10" t="s">
        <v>95</v>
      </c>
      <c r="AG48" s="10">
        <v>2.5</v>
      </c>
      <c r="AH48" s="10">
        <v>0</v>
      </c>
      <c r="AI48" s="27">
        <f>1.33/3</f>
        <v>0.44333333333333336</v>
      </c>
      <c r="AJ48" s="27"/>
      <c r="AK48" s="10">
        <v>1</v>
      </c>
      <c r="AL48" s="10">
        <v>633</v>
      </c>
      <c r="AM48" s="19">
        <v>0.218</v>
      </c>
      <c r="AN48" s="19">
        <v>0.91</v>
      </c>
      <c r="AO48" s="19"/>
      <c r="AP48" s="19"/>
      <c r="AQ48" s="19">
        <f>Table1[[#This Row],[X_Ac]]*Table1[[#This Row],[S_Acryl_Ac]]</f>
        <v>0.19838</v>
      </c>
      <c r="AR48" s="19">
        <f>Table1[[#This Row],[Y_Acryl_Ac]]*Table1[[#This Row],[Ratio_Ac_Fa]]</f>
        <v>0.49595</v>
      </c>
      <c r="AS48" s="28">
        <f t="shared" si="4"/>
        <v>1.0105618683064399</v>
      </c>
      <c r="AT48" s="29"/>
      <c r="AU48" s="10" t="s">
        <v>23</v>
      </c>
      <c r="AV48" s="19"/>
      <c r="AW48" s="10" t="s">
        <v>102</v>
      </c>
      <c r="AX48" s="10">
        <v>2020</v>
      </c>
      <c r="AY48" s="10">
        <v>3</v>
      </c>
      <c r="AZ48" s="10"/>
      <c r="BA48" s="20">
        <v>0.10188142638435729</v>
      </c>
      <c r="BB48" s="20">
        <v>0.25470356596089322</v>
      </c>
      <c r="BC48" s="20">
        <f>BA48*60*AR48/AY48</f>
        <v>1.0105618683064399</v>
      </c>
      <c r="BD48" s="20">
        <f>BB48*60*AQ48/AY48</f>
        <v>1.0105618683064399</v>
      </c>
    </row>
    <row r="49" spans="1:56" s="18" customFormat="1">
      <c r="A49" s="10">
        <v>48</v>
      </c>
      <c r="B49" s="13">
        <v>0.8</v>
      </c>
      <c r="C49" s="10" t="s">
        <v>11</v>
      </c>
      <c r="D49" s="10"/>
      <c r="E49" s="27">
        <v>1</v>
      </c>
      <c r="F49" s="27"/>
      <c r="G49" s="27"/>
      <c r="H49" s="27"/>
      <c r="I49" s="10" t="s">
        <v>205</v>
      </c>
      <c r="J49" s="10">
        <v>1</v>
      </c>
      <c r="K49" s="10"/>
      <c r="L49" s="10"/>
      <c r="M49" s="10" t="s">
        <v>7</v>
      </c>
      <c r="N49" s="10">
        <v>1.05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50">
        <v>4</v>
      </c>
      <c r="Z49" s="10">
        <v>20</v>
      </c>
      <c r="AA49" s="10" t="s">
        <v>24</v>
      </c>
      <c r="AB49" s="10">
        <v>1</v>
      </c>
      <c r="AC49" s="20">
        <f>3/(97+3)</f>
        <v>0.03</v>
      </c>
      <c r="AD49" s="10" t="s">
        <v>43</v>
      </c>
      <c r="AE49" s="10" t="s">
        <v>210</v>
      </c>
      <c r="AF49" s="10" t="s">
        <v>95</v>
      </c>
      <c r="AG49" s="10">
        <v>2.5</v>
      </c>
      <c r="AH49" s="10">
        <v>0</v>
      </c>
      <c r="AI49" s="27">
        <f>1.33/3</f>
        <v>0.44333333333333336</v>
      </c>
      <c r="AJ49" s="27">
        <f>50/3</f>
        <v>16.666666666666668</v>
      </c>
      <c r="AK49" s="10">
        <v>1</v>
      </c>
      <c r="AL49" s="10">
        <v>633</v>
      </c>
      <c r="AM49" s="19">
        <v>0.35</v>
      </c>
      <c r="AN49" s="19">
        <v>0.81299999999999994</v>
      </c>
      <c r="AO49" s="19"/>
      <c r="AP49" s="19"/>
      <c r="AQ49" s="19">
        <f>Table1[[#This Row],[X_Ac]]*Table1[[#This Row],[S_Acryl_Ac]]</f>
        <v>0.28454999999999997</v>
      </c>
      <c r="AR49" s="19">
        <f>Table1[[#This Row],[Y_Acryl_Ac]]*Table1[[#This Row],[Ratio_Ac_Fa]]</f>
        <v>0.71137499999999987</v>
      </c>
      <c r="AS49" s="28">
        <f t="shared" si="4"/>
        <v>1.4495179938834433</v>
      </c>
      <c r="AT49" s="29">
        <v>1</v>
      </c>
      <c r="AU49" s="10" t="s">
        <v>23</v>
      </c>
      <c r="AV49" s="19" t="s">
        <v>97</v>
      </c>
      <c r="AW49" s="10" t="s">
        <v>102</v>
      </c>
      <c r="AX49" s="10">
        <v>2020</v>
      </c>
      <c r="AY49" s="10">
        <v>3</v>
      </c>
      <c r="AZ49" s="10"/>
      <c r="BA49" s="20">
        <v>0.10188142638435729</v>
      </c>
      <c r="BB49" s="20">
        <v>0.25470356596089322</v>
      </c>
      <c r="BC49" s="20">
        <f>BA49*60*AR49/AY49</f>
        <v>1.4495179938834433</v>
      </c>
      <c r="BD49" s="20">
        <f>BB49*60*AQ49/AY49</f>
        <v>1.449517993883443</v>
      </c>
    </row>
    <row r="50" spans="1:56" s="18" customFormat="1">
      <c r="A50" s="10">
        <v>49</v>
      </c>
      <c r="B50" s="13">
        <v>0.8</v>
      </c>
      <c r="C50" s="10" t="s">
        <v>11</v>
      </c>
      <c r="D50" s="10"/>
      <c r="E50" s="27">
        <v>1</v>
      </c>
      <c r="F50" s="27"/>
      <c r="G50" s="27"/>
      <c r="H50" s="27"/>
      <c r="I50" s="10" t="s">
        <v>205</v>
      </c>
      <c r="J50" s="10">
        <v>1</v>
      </c>
      <c r="K50" s="10"/>
      <c r="L50" s="10"/>
      <c r="M50" s="10" t="s">
        <v>7</v>
      </c>
      <c r="N50" s="10">
        <v>1.05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50"/>
      <c r="Z50" s="10">
        <v>20</v>
      </c>
      <c r="AA50" s="10" t="s">
        <v>98</v>
      </c>
      <c r="AB50" s="10">
        <v>1</v>
      </c>
      <c r="AC50" s="20">
        <f>3/(97+3)</f>
        <v>0.03</v>
      </c>
      <c r="AD50" s="10" t="s">
        <v>43</v>
      </c>
      <c r="AE50" s="10" t="s">
        <v>210</v>
      </c>
      <c r="AF50" s="10" t="s">
        <v>95</v>
      </c>
      <c r="AG50" s="10">
        <v>2.5</v>
      </c>
      <c r="AH50" s="10">
        <v>0</v>
      </c>
      <c r="AI50" s="27">
        <f>1.33/3</f>
        <v>0.44333333333333336</v>
      </c>
      <c r="AJ50" s="27"/>
      <c r="AK50" s="10">
        <v>1</v>
      </c>
      <c r="AL50" s="10">
        <v>633</v>
      </c>
      <c r="AM50" s="19">
        <v>0.183</v>
      </c>
      <c r="AN50" s="19">
        <v>0.65</v>
      </c>
      <c r="AO50" s="19"/>
      <c r="AP50" s="19"/>
      <c r="AQ50" s="19">
        <f>Table1[[#This Row],[X_Ac]]*Table1[[#This Row],[S_Acryl_Ac]]</f>
        <v>0.11895</v>
      </c>
      <c r="AR50" s="19">
        <f>Table1[[#This Row],[Y_Acryl_Ac]]*Table1[[#This Row],[Ratio_Ac_Fa]]</f>
        <v>0.297375</v>
      </c>
      <c r="AS50" s="28">
        <f t="shared" si="4"/>
        <v>0.60593978342096499</v>
      </c>
      <c r="AT50" s="29"/>
      <c r="AU50" s="10" t="s">
        <v>23</v>
      </c>
      <c r="AV50" s="19"/>
      <c r="AW50" s="10" t="s">
        <v>102</v>
      </c>
      <c r="AX50" s="10">
        <v>2020</v>
      </c>
      <c r="AY50" s="10">
        <v>3</v>
      </c>
      <c r="AZ50" s="10"/>
      <c r="BA50" s="20">
        <v>0.10188142638435729</v>
      </c>
      <c r="BB50" s="20">
        <v>0.25470356596089322</v>
      </c>
      <c r="BC50" s="20">
        <f>BA50*60*AR50/AY50</f>
        <v>0.60593978342096499</v>
      </c>
      <c r="BD50" s="20">
        <f>BB50*60*AQ50/AY50</f>
        <v>0.60593978342096488</v>
      </c>
    </row>
    <row r="51" spans="1:56" s="18" customFormat="1">
      <c r="A51" s="10">
        <v>50</v>
      </c>
      <c r="B51" s="13">
        <v>0.8</v>
      </c>
      <c r="C51" s="10" t="s">
        <v>11</v>
      </c>
      <c r="D51" s="10"/>
      <c r="E51" s="27">
        <v>1</v>
      </c>
      <c r="F51" s="27"/>
      <c r="G51" s="27"/>
      <c r="H51" s="27"/>
      <c r="I51" s="10" t="s">
        <v>205</v>
      </c>
      <c r="J51" s="10">
        <v>1</v>
      </c>
      <c r="K51" s="10"/>
      <c r="L51" s="10"/>
      <c r="M51" s="10" t="s">
        <v>7</v>
      </c>
      <c r="N51" s="10">
        <v>1.05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50"/>
      <c r="Z51" s="10">
        <v>20</v>
      </c>
      <c r="AA51" s="10" t="s">
        <v>21</v>
      </c>
      <c r="AB51" s="10">
        <v>1</v>
      </c>
      <c r="AC51" s="20">
        <f>3/(97+3)</f>
        <v>0.03</v>
      </c>
      <c r="AD51" s="10" t="s">
        <v>43</v>
      </c>
      <c r="AE51" s="10" t="s">
        <v>210</v>
      </c>
      <c r="AF51" s="10" t="s">
        <v>95</v>
      </c>
      <c r="AG51" s="10">
        <v>2.5</v>
      </c>
      <c r="AH51" s="10">
        <v>0</v>
      </c>
      <c r="AI51" s="27">
        <f>1.33/3</f>
        <v>0.44333333333333336</v>
      </c>
      <c r="AJ51" s="27"/>
      <c r="AK51" s="10">
        <v>1</v>
      </c>
      <c r="AL51" s="10">
        <v>633</v>
      </c>
      <c r="AM51" s="19">
        <v>0.26200000000000001</v>
      </c>
      <c r="AN51" s="19">
        <v>0.47799999999999998</v>
      </c>
      <c r="AO51" s="19"/>
      <c r="AP51" s="19"/>
      <c r="AQ51" s="19">
        <f>Table1[[#This Row],[X_Ac]]*Table1[[#This Row],[S_Acryl_Ac]]</f>
        <v>0.12523599999999999</v>
      </c>
      <c r="AR51" s="19">
        <f>Table1[[#This Row],[Y_Acryl_Ac]]*Table1[[#This Row],[Ratio_Ac_Fa]]</f>
        <v>0.31308999999999998</v>
      </c>
      <c r="AS51" s="28">
        <f t="shared" si="4"/>
        <v>0.6379611157335684</v>
      </c>
      <c r="AT51" s="29"/>
      <c r="AU51" s="10" t="s">
        <v>23</v>
      </c>
      <c r="AV51" s="19"/>
      <c r="AW51" s="10" t="s">
        <v>102</v>
      </c>
      <c r="AX51" s="10">
        <v>2020</v>
      </c>
      <c r="AY51" s="10">
        <v>3</v>
      </c>
      <c r="AZ51" s="10"/>
      <c r="BA51" s="20">
        <v>0.10188142638435729</v>
      </c>
      <c r="BB51" s="20">
        <v>0.25470356596089322</v>
      </c>
      <c r="BC51" s="20">
        <f>BA51*60*AR51/AY51</f>
        <v>0.6379611157335684</v>
      </c>
      <c r="BD51" s="20">
        <f>BB51*60*AQ51/AY51</f>
        <v>0.6379611157335684</v>
      </c>
    </row>
    <row r="52" spans="1:56" s="18" customFormat="1" ht="15.6" customHeight="1">
      <c r="A52" s="10">
        <v>51</v>
      </c>
      <c r="B52" s="13">
        <v>1</v>
      </c>
      <c r="C52" s="10" t="s">
        <v>11</v>
      </c>
      <c r="D52" s="10"/>
      <c r="E52" s="27">
        <v>1</v>
      </c>
      <c r="F52" s="10"/>
      <c r="G52" s="10"/>
      <c r="H52" s="27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50">
        <v>20</v>
      </c>
      <c r="Z52" s="10"/>
      <c r="AA52" s="10" t="s">
        <v>4</v>
      </c>
      <c r="AB52" s="10">
        <v>1</v>
      </c>
      <c r="AC52" s="20">
        <v>0</v>
      </c>
      <c r="AD52" s="10" t="s">
        <v>43</v>
      </c>
      <c r="AE52" s="10" t="s">
        <v>210</v>
      </c>
      <c r="AF52" s="10" t="s">
        <v>95</v>
      </c>
      <c r="AG52" s="10">
        <v>2.5</v>
      </c>
      <c r="AH52" s="10">
        <v>0</v>
      </c>
      <c r="AI52" s="27">
        <f>1.33/3</f>
        <v>0.44333333333333336</v>
      </c>
      <c r="AJ52" s="27"/>
      <c r="AK52" s="10">
        <v>1</v>
      </c>
      <c r="AL52" s="10">
        <v>633</v>
      </c>
      <c r="AM52" s="19">
        <v>0.158</v>
      </c>
      <c r="AN52" s="19">
        <v>0.16400000000000001</v>
      </c>
      <c r="AO52" s="19"/>
      <c r="AP52" s="19"/>
      <c r="AQ52" s="19">
        <f>Table1[[#This Row],[X_Ac]]*Table1[[#This Row],[S_Acryl_Ac]]</f>
        <v>2.5912000000000001E-2</v>
      </c>
      <c r="AR52" s="19">
        <f>Table1[[#This Row],[Y_Acryl_Ac]]*Table1[[#This Row],[Ratio_Ac_Fa]]</f>
        <v>6.4780000000000004E-2</v>
      </c>
      <c r="AS52" s="28">
        <f t="shared" si="4"/>
        <v>0.13199757602357332</v>
      </c>
      <c r="AT52" s="16"/>
      <c r="AU52" s="10" t="s">
        <v>23</v>
      </c>
      <c r="AV52" s="30"/>
      <c r="AW52" s="10" t="s">
        <v>102</v>
      </c>
      <c r="AX52" s="10">
        <v>2020</v>
      </c>
      <c r="AY52" s="10">
        <v>3</v>
      </c>
      <c r="AZ52" s="10"/>
      <c r="BA52" s="20">
        <v>0.10188142638435729</v>
      </c>
      <c r="BB52" s="20">
        <v>0.25470356596089322</v>
      </c>
      <c r="BC52" s="20">
        <f>BA52*60*AR52/AY52</f>
        <v>0.13199757602357332</v>
      </c>
      <c r="BD52" s="20">
        <f>BB52*60*AQ52/AY52</f>
        <v>0.13199757602357329</v>
      </c>
    </row>
    <row r="53" spans="1:56" s="18" customFormat="1">
      <c r="A53" s="10">
        <v>52</v>
      </c>
      <c r="B53" s="13">
        <v>1</v>
      </c>
      <c r="C53" s="10" t="s">
        <v>12</v>
      </c>
      <c r="D53" s="10"/>
      <c r="E53" s="27">
        <v>1</v>
      </c>
      <c r="F53" s="10"/>
      <c r="G53" s="10"/>
      <c r="H53" s="27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50">
        <v>250</v>
      </c>
      <c r="Z53" s="50"/>
      <c r="AA53" s="10"/>
      <c r="AB53" s="10">
        <v>1</v>
      </c>
      <c r="AC53" s="20">
        <f t="shared" ref="AC53:AC64" si="10">3/(97+3)</f>
        <v>0.03</v>
      </c>
      <c r="AD53" s="10" t="s">
        <v>43</v>
      </c>
      <c r="AE53" s="10" t="s">
        <v>210</v>
      </c>
      <c r="AF53" s="10" t="s">
        <v>95</v>
      </c>
      <c r="AG53" s="10">
        <v>2.5</v>
      </c>
      <c r="AH53" s="10">
        <v>0</v>
      </c>
      <c r="AI53" s="27">
        <f t="shared" ref="AI53:AI60" si="11">4/3</f>
        <v>1.3333333333333333</v>
      </c>
      <c r="AJ53" s="27">
        <f t="shared" ref="AJ53:AJ64" si="12">50/3</f>
        <v>16.666666666666668</v>
      </c>
      <c r="AK53" s="10">
        <v>1</v>
      </c>
      <c r="AL53" s="10">
        <v>633</v>
      </c>
      <c r="AM53" s="19">
        <v>0.93400000000000005</v>
      </c>
      <c r="AN53" s="19">
        <v>5.3900000000000003E-2</v>
      </c>
      <c r="AO53" s="19"/>
      <c r="AP53" s="19"/>
      <c r="AQ53" s="19">
        <f>Table1[[#This Row],[X_Ac]]*Table1[[#This Row],[S_Acryl_Ac]]</f>
        <v>5.0342600000000008E-2</v>
      </c>
      <c r="AR53" s="19">
        <f>Table1[[#This Row],[Y_Acryl_Ac]]*Table1[[#This Row],[Ratio_Ac_Fa]]</f>
        <v>0.12585650000000001</v>
      </c>
      <c r="AS53" s="28">
        <f t="shared" si="4"/>
        <v>0.771274570811601</v>
      </c>
      <c r="AT53" s="16"/>
      <c r="AU53" s="10" t="s">
        <v>126</v>
      </c>
      <c r="AV53" s="30"/>
      <c r="AW53" s="10" t="s">
        <v>125</v>
      </c>
      <c r="AX53" s="10">
        <v>2023</v>
      </c>
      <c r="AY53" s="10">
        <v>3</v>
      </c>
      <c r="AZ53" s="10"/>
      <c r="BA53" s="20">
        <v>0.30641030491536031</v>
      </c>
      <c r="BB53" s="20">
        <v>0.76602576228840069</v>
      </c>
      <c r="BC53" s="20">
        <f>BA53*60*AR53/AY53</f>
        <v>0.771274570811601</v>
      </c>
      <c r="BD53" s="20">
        <f>BB53*60*AQ53/AY53</f>
        <v>0.771274570811601</v>
      </c>
    </row>
    <row r="54" spans="1:56" s="18" customFormat="1">
      <c r="A54" s="10">
        <v>53</v>
      </c>
      <c r="B54" s="13">
        <v>1</v>
      </c>
      <c r="C54" s="10" t="s">
        <v>12</v>
      </c>
      <c r="D54" s="10"/>
      <c r="E54" s="27">
        <v>1</v>
      </c>
      <c r="F54" s="10"/>
      <c r="G54" s="10"/>
      <c r="H54" s="27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50">
        <v>250</v>
      </c>
      <c r="Z54" s="10"/>
      <c r="AA54" s="10"/>
      <c r="AB54" s="10">
        <v>1</v>
      </c>
      <c r="AC54" s="20">
        <f t="shared" si="10"/>
        <v>0.03</v>
      </c>
      <c r="AD54" s="10" t="s">
        <v>43</v>
      </c>
      <c r="AE54" s="10" t="s">
        <v>210</v>
      </c>
      <c r="AF54" s="10" t="s">
        <v>95</v>
      </c>
      <c r="AG54" s="10">
        <v>2.5</v>
      </c>
      <c r="AH54" s="10">
        <v>0</v>
      </c>
      <c r="AI54" s="27">
        <f t="shared" si="11"/>
        <v>1.3333333333333333</v>
      </c>
      <c r="AJ54" s="27">
        <f t="shared" si="12"/>
        <v>16.666666666666668</v>
      </c>
      <c r="AK54" s="10">
        <v>1</v>
      </c>
      <c r="AL54" s="10">
        <v>633</v>
      </c>
      <c r="AM54" s="19">
        <v>7.7499999999999999E-2</v>
      </c>
      <c r="AN54" s="19">
        <v>0.56699999999999995</v>
      </c>
      <c r="AO54" s="19"/>
      <c r="AP54" s="19"/>
      <c r="AQ54" s="19">
        <f>Table1[[#This Row],[X_Ac]]*Table1[[#This Row],[S_Acryl_Ac]]</f>
        <v>4.3942499999999995E-2</v>
      </c>
      <c r="AR54" s="19">
        <f>Table1[[#This Row],[Y_Acryl_Ac]]*Table1[[#This Row],[Ratio_Ac_Fa]]</f>
        <v>0.10985624999999999</v>
      </c>
      <c r="AS54" s="28">
        <f t="shared" si="4"/>
        <v>0.67322174118716083</v>
      </c>
      <c r="AT54" s="16"/>
      <c r="AU54" s="10" t="s">
        <v>126</v>
      </c>
      <c r="AV54" s="30"/>
      <c r="AW54" s="10" t="s">
        <v>125</v>
      </c>
      <c r="AX54" s="10">
        <v>2023</v>
      </c>
      <c r="AY54" s="10">
        <v>3</v>
      </c>
      <c r="AZ54" s="10"/>
      <c r="BA54" s="20">
        <v>0.30641030491536031</v>
      </c>
      <c r="BB54" s="20">
        <v>0.76602576228840069</v>
      </c>
      <c r="BC54" s="20">
        <f>BA54*60*AR54/AY54</f>
        <v>0.67322174118716094</v>
      </c>
      <c r="BD54" s="20">
        <f>BB54*60*AQ54/AY54</f>
        <v>0.67322174118716083</v>
      </c>
    </row>
    <row r="55" spans="1:56" s="18" customFormat="1">
      <c r="A55" s="10">
        <v>54</v>
      </c>
      <c r="B55" s="13">
        <v>1</v>
      </c>
      <c r="C55" s="10" t="s">
        <v>104</v>
      </c>
      <c r="D55" s="10"/>
      <c r="E55" s="27">
        <v>1</v>
      </c>
      <c r="F55" s="10"/>
      <c r="G55" s="10"/>
      <c r="H55" s="27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50">
        <v>15</v>
      </c>
      <c r="Z55" s="10"/>
      <c r="AA55" s="10"/>
      <c r="AB55" s="10">
        <v>1</v>
      </c>
      <c r="AC55" s="20">
        <f t="shared" si="10"/>
        <v>0.03</v>
      </c>
      <c r="AD55" s="10" t="s">
        <v>43</v>
      </c>
      <c r="AE55" s="10" t="s">
        <v>210</v>
      </c>
      <c r="AF55" s="10" t="s">
        <v>95</v>
      </c>
      <c r="AG55" s="10">
        <v>2.5</v>
      </c>
      <c r="AH55" s="10">
        <v>0</v>
      </c>
      <c r="AI55" s="27">
        <f t="shared" si="11"/>
        <v>1.3333333333333333</v>
      </c>
      <c r="AJ55" s="27">
        <f t="shared" si="12"/>
        <v>16.666666666666668</v>
      </c>
      <c r="AK55" s="10">
        <v>1</v>
      </c>
      <c r="AL55" s="10">
        <v>633</v>
      </c>
      <c r="AM55" s="19">
        <v>0.64900000000000002</v>
      </c>
      <c r="AN55" s="19">
        <v>0.112</v>
      </c>
      <c r="AO55" s="19"/>
      <c r="AP55" s="19"/>
      <c r="AQ55" s="19">
        <f>Table1[[#This Row],[X_Ac]]*Table1[[#This Row],[S_Acryl_Ac]]</f>
        <v>7.2688000000000003E-2</v>
      </c>
      <c r="AR55" s="19">
        <f>Table1[[#This Row],[Y_Acryl_Ac]]*Table1[[#This Row],[Ratio_Ac_Fa]]</f>
        <v>0.18171999999999999</v>
      </c>
      <c r="AS55" s="28">
        <f t="shared" si="4"/>
        <v>1.1136176121843855</v>
      </c>
      <c r="AT55" s="16"/>
      <c r="AU55" s="10" t="s">
        <v>126</v>
      </c>
      <c r="AV55" s="30"/>
      <c r="AW55" s="10" t="s">
        <v>125</v>
      </c>
      <c r="AX55" s="10">
        <v>2023</v>
      </c>
      <c r="AY55" s="10">
        <v>3</v>
      </c>
      <c r="AZ55" s="10"/>
      <c r="BA55" s="20">
        <v>0.30641030491536031</v>
      </c>
      <c r="BB55" s="20">
        <v>0.76602576228840069</v>
      </c>
      <c r="BC55" s="20">
        <f>BA55*60*AR55/AY55</f>
        <v>1.1136176121843855</v>
      </c>
      <c r="BD55" s="20">
        <f>BB55*60*AQ55/AY55</f>
        <v>1.1136176121843855</v>
      </c>
    </row>
    <row r="56" spans="1:56" s="18" customFormat="1">
      <c r="A56" s="10">
        <v>55</v>
      </c>
      <c r="B56" s="13">
        <v>1</v>
      </c>
      <c r="C56" s="10" t="s">
        <v>108</v>
      </c>
      <c r="D56" s="10"/>
      <c r="E56" s="27">
        <v>1</v>
      </c>
      <c r="F56" s="10"/>
      <c r="G56" s="10"/>
      <c r="H56" s="27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50">
        <v>50</v>
      </c>
      <c r="Z56" s="10"/>
      <c r="AA56" s="10"/>
      <c r="AB56" s="10">
        <v>1</v>
      </c>
      <c r="AC56" s="20">
        <f t="shared" si="10"/>
        <v>0.03</v>
      </c>
      <c r="AD56" s="10" t="s">
        <v>43</v>
      </c>
      <c r="AE56" s="10" t="s">
        <v>210</v>
      </c>
      <c r="AF56" s="10" t="s">
        <v>95</v>
      </c>
      <c r="AG56" s="10">
        <v>2.5</v>
      </c>
      <c r="AH56" s="10">
        <v>0</v>
      </c>
      <c r="AI56" s="27">
        <f t="shared" si="11"/>
        <v>1.3333333333333333</v>
      </c>
      <c r="AJ56" s="27">
        <f t="shared" si="12"/>
        <v>16.666666666666668</v>
      </c>
      <c r="AK56" s="10">
        <v>1</v>
      </c>
      <c r="AL56" s="10">
        <v>633</v>
      </c>
      <c r="AM56" s="19">
        <v>0.72399999999999998</v>
      </c>
      <c r="AN56" s="19">
        <v>0.14299999999999999</v>
      </c>
      <c r="AO56" s="19"/>
      <c r="AP56" s="19"/>
      <c r="AQ56" s="19">
        <f>Table1[[#This Row],[X_Ac]]*Table1[[#This Row],[S_Acryl_Ac]]</f>
        <v>0.10353199999999999</v>
      </c>
      <c r="AR56" s="19">
        <f>Table1[[#This Row],[Y_Acryl_Ac]]*Table1[[#This Row],[Ratio_Ac_Fa]]</f>
        <v>0.25882999999999995</v>
      </c>
      <c r="AS56" s="28">
        <f t="shared" si="4"/>
        <v>1.5861635844248538</v>
      </c>
      <c r="AT56" s="16"/>
      <c r="AU56" s="10" t="s">
        <v>126</v>
      </c>
      <c r="AV56" s="30"/>
      <c r="AW56" s="10" t="s">
        <v>125</v>
      </c>
      <c r="AX56" s="10">
        <v>2023</v>
      </c>
      <c r="AY56" s="10">
        <v>3</v>
      </c>
      <c r="AZ56" s="10"/>
      <c r="BA56" s="20">
        <v>0.30641030491536031</v>
      </c>
      <c r="BB56" s="20">
        <v>0.76602576228840069</v>
      </c>
      <c r="BC56" s="20">
        <f>BA56*60*AR56/AY56</f>
        <v>1.5861635844248541</v>
      </c>
      <c r="BD56" s="20">
        <f>BB56*60*AQ56/AY56</f>
        <v>1.5861635844248536</v>
      </c>
    </row>
    <row r="57" spans="1:56" s="18" customFormat="1">
      <c r="A57" s="10">
        <v>56</v>
      </c>
      <c r="B57" s="13">
        <f>14/(18+14*0.1)</f>
        <v>0.72164948453608257</v>
      </c>
      <c r="C57" s="10" t="s">
        <v>11</v>
      </c>
      <c r="D57" s="10"/>
      <c r="E57" s="27">
        <v>1</v>
      </c>
      <c r="F57" s="27"/>
      <c r="G57" s="27"/>
      <c r="H57" s="27"/>
      <c r="I57" s="10" t="s">
        <v>205</v>
      </c>
      <c r="J57" s="10">
        <v>1</v>
      </c>
      <c r="K57" s="10"/>
      <c r="L57" s="10"/>
      <c r="M57" s="10" t="s">
        <v>7</v>
      </c>
      <c r="N57" s="10">
        <v>1.05</v>
      </c>
      <c r="O57" s="10"/>
      <c r="P57" s="10"/>
      <c r="Q57" s="10" t="s">
        <v>104</v>
      </c>
      <c r="R57" s="10"/>
      <c r="S57" s="10"/>
      <c r="T57" s="10">
        <v>0.1</v>
      </c>
      <c r="U57" s="10"/>
      <c r="V57" s="10"/>
      <c r="W57" s="10"/>
      <c r="X57" s="10"/>
      <c r="Y57" s="50"/>
      <c r="Z57" s="10">
        <v>20</v>
      </c>
      <c r="AA57" s="10" t="s">
        <v>24</v>
      </c>
      <c r="AB57" s="10">
        <v>1</v>
      </c>
      <c r="AC57" s="20">
        <f t="shared" si="10"/>
        <v>0.03</v>
      </c>
      <c r="AD57" s="10" t="s">
        <v>43</v>
      </c>
      <c r="AE57" s="10" t="s">
        <v>210</v>
      </c>
      <c r="AF57" s="10" t="s">
        <v>95</v>
      </c>
      <c r="AG57" s="10">
        <v>2.5</v>
      </c>
      <c r="AH57" s="10">
        <v>0</v>
      </c>
      <c r="AI57" s="27">
        <f t="shared" si="11"/>
        <v>1.3333333333333333</v>
      </c>
      <c r="AJ57" s="27">
        <f t="shared" si="12"/>
        <v>16.666666666666668</v>
      </c>
      <c r="AK57" s="10">
        <v>1</v>
      </c>
      <c r="AL57" s="10">
        <v>633</v>
      </c>
      <c r="AM57" s="19">
        <v>0.27400000000000002</v>
      </c>
      <c r="AN57" s="19">
        <v>0.91639999999999999</v>
      </c>
      <c r="AO57" s="19"/>
      <c r="AP57" s="19"/>
      <c r="AQ57" s="19">
        <f>Table1[[#This Row],[X_Ac]]*Table1[[#This Row],[S_Acryl_Ac]]</f>
        <v>0.25109360000000003</v>
      </c>
      <c r="AR57" s="19">
        <f>Table1[[#This Row],[Y_Acryl_Ac]]*Table1[[#This Row],[Ratio_Ac_Fa]]</f>
        <v>0.62773400000000001</v>
      </c>
      <c r="AS57" s="28">
        <f t="shared" si="4"/>
        <v>3.8468833269147762</v>
      </c>
      <c r="AT57" s="16" t="s">
        <v>289</v>
      </c>
      <c r="AU57" s="10" t="s">
        <v>126</v>
      </c>
      <c r="AV57" s="30"/>
      <c r="AW57" s="10" t="s">
        <v>125</v>
      </c>
      <c r="AX57" s="10">
        <v>2023</v>
      </c>
      <c r="AY57" s="10">
        <v>3</v>
      </c>
      <c r="AZ57" s="10"/>
      <c r="BA57" s="20">
        <v>0.30641030491536031</v>
      </c>
      <c r="BB57" s="20">
        <v>0.76602576228840069</v>
      </c>
      <c r="BC57" s="20">
        <f>BA57*60*AR57/AY57</f>
        <v>3.8468833269147762</v>
      </c>
      <c r="BD57" s="20">
        <f>BB57*60*AQ57/AY57</f>
        <v>3.8468833269147757</v>
      </c>
    </row>
    <row r="58" spans="1:56" s="18" customFormat="1">
      <c r="A58" s="10">
        <v>57</v>
      </c>
      <c r="B58" s="13">
        <f>14/(18+14*0.1)</f>
        <v>0.72164948453608257</v>
      </c>
      <c r="C58" s="10" t="s">
        <v>11</v>
      </c>
      <c r="D58" s="10"/>
      <c r="E58" s="27">
        <v>1</v>
      </c>
      <c r="F58" s="27"/>
      <c r="G58" s="27"/>
      <c r="H58" s="27"/>
      <c r="I58" s="10" t="s">
        <v>205</v>
      </c>
      <c r="J58" s="10">
        <v>1</v>
      </c>
      <c r="K58" s="10"/>
      <c r="L58" s="10"/>
      <c r="M58" s="10" t="s">
        <v>7</v>
      </c>
      <c r="N58" s="10">
        <v>1.05</v>
      </c>
      <c r="O58" s="10"/>
      <c r="P58" s="10"/>
      <c r="Q58" s="10" t="s">
        <v>108</v>
      </c>
      <c r="R58" s="10"/>
      <c r="S58" s="10"/>
      <c r="T58" s="10">
        <v>0.1</v>
      </c>
      <c r="U58" s="10"/>
      <c r="V58" s="10"/>
      <c r="W58" s="10"/>
      <c r="X58" s="10"/>
      <c r="Y58" s="50"/>
      <c r="Z58" s="10">
        <v>20</v>
      </c>
      <c r="AA58" s="10" t="s">
        <v>24</v>
      </c>
      <c r="AB58" s="10">
        <v>1</v>
      </c>
      <c r="AC58" s="20">
        <f t="shared" si="10"/>
        <v>0.03</v>
      </c>
      <c r="AD58" s="10" t="s">
        <v>43</v>
      </c>
      <c r="AE58" s="10" t="s">
        <v>210</v>
      </c>
      <c r="AF58" s="10" t="s">
        <v>95</v>
      </c>
      <c r="AG58" s="10">
        <v>2.5</v>
      </c>
      <c r="AH58" s="10">
        <v>0</v>
      </c>
      <c r="AI58" s="27">
        <f t="shared" si="11"/>
        <v>1.3333333333333333</v>
      </c>
      <c r="AJ58" s="27">
        <f t="shared" si="12"/>
        <v>16.666666666666668</v>
      </c>
      <c r="AK58" s="10">
        <v>1</v>
      </c>
      <c r="AL58" s="10">
        <v>633</v>
      </c>
      <c r="AM58" s="19">
        <v>0.25080000000000002</v>
      </c>
      <c r="AN58" s="19">
        <v>0.92300000000000004</v>
      </c>
      <c r="AO58" s="19"/>
      <c r="AP58" s="19"/>
      <c r="AQ58" s="19">
        <f>Table1[[#This Row],[X_Ac]]*Table1[[#This Row],[S_Acryl_Ac]]</f>
        <v>0.23148840000000004</v>
      </c>
      <c r="AR58" s="19">
        <f>Table1[[#This Row],[Y_Acryl_Ac]]*Table1[[#This Row],[Ratio_Ac_Fa]]</f>
        <v>0.57872100000000004</v>
      </c>
      <c r="AS58" s="28">
        <f t="shared" si="4"/>
        <v>3.5465215614184449</v>
      </c>
      <c r="AT58" s="16" t="s">
        <v>290</v>
      </c>
      <c r="AU58" s="10" t="s">
        <v>126</v>
      </c>
      <c r="AV58" s="30"/>
      <c r="AW58" s="10" t="s">
        <v>125</v>
      </c>
      <c r="AX58" s="10">
        <v>2023</v>
      </c>
      <c r="AY58" s="10">
        <v>3</v>
      </c>
      <c r="AZ58" s="10"/>
      <c r="BA58" s="20">
        <v>0.30641030491536031</v>
      </c>
      <c r="BB58" s="20">
        <v>0.76602576228840069</v>
      </c>
      <c r="BC58" s="20">
        <f>BA58*60*AR58/AY58</f>
        <v>3.5465215614184449</v>
      </c>
      <c r="BD58" s="20">
        <f>BB58*60*AQ58/AY58</f>
        <v>3.5465215614184449</v>
      </c>
    </row>
    <row r="59" spans="1:56" s="18" customFormat="1">
      <c r="A59" s="10">
        <v>58</v>
      </c>
      <c r="B59" s="13">
        <f>14/(18+14*0.1)</f>
        <v>0.72164948453608257</v>
      </c>
      <c r="C59" s="10" t="s">
        <v>11</v>
      </c>
      <c r="D59" s="10"/>
      <c r="E59" s="27">
        <v>1</v>
      </c>
      <c r="F59" s="27"/>
      <c r="G59" s="27"/>
      <c r="H59" s="27"/>
      <c r="I59" s="10" t="s">
        <v>205</v>
      </c>
      <c r="J59" s="10">
        <v>1</v>
      </c>
      <c r="K59" s="10"/>
      <c r="L59" s="10"/>
      <c r="M59" s="10" t="s">
        <v>7</v>
      </c>
      <c r="N59" s="10">
        <v>1.05</v>
      </c>
      <c r="O59" s="10"/>
      <c r="P59" s="10"/>
      <c r="Q59" s="10" t="s">
        <v>9</v>
      </c>
      <c r="R59" s="10"/>
      <c r="S59" s="10"/>
      <c r="T59" s="10">
        <v>0.1</v>
      </c>
      <c r="U59" s="10"/>
      <c r="V59" s="10"/>
      <c r="W59" s="10"/>
      <c r="X59" s="10"/>
      <c r="Y59" s="50"/>
      <c r="Z59" s="10">
        <v>20</v>
      </c>
      <c r="AA59" s="10" t="s">
        <v>24</v>
      </c>
      <c r="AB59" s="10">
        <v>1</v>
      </c>
      <c r="AC59" s="20">
        <f t="shared" si="10"/>
        <v>0.03</v>
      </c>
      <c r="AD59" s="10" t="s">
        <v>43</v>
      </c>
      <c r="AE59" s="10" t="s">
        <v>210</v>
      </c>
      <c r="AF59" s="10" t="s">
        <v>95</v>
      </c>
      <c r="AG59" s="10">
        <v>2.5</v>
      </c>
      <c r="AH59" s="10">
        <v>0</v>
      </c>
      <c r="AI59" s="27">
        <f t="shared" si="11"/>
        <v>1.3333333333333333</v>
      </c>
      <c r="AJ59" s="27">
        <f t="shared" si="12"/>
        <v>16.666666666666668</v>
      </c>
      <c r="AK59" s="10">
        <v>1</v>
      </c>
      <c r="AL59" s="10">
        <v>633</v>
      </c>
      <c r="AM59" s="19">
        <v>0.20979999999999999</v>
      </c>
      <c r="AN59" s="19">
        <v>0.86890000000000001</v>
      </c>
      <c r="AO59" s="19"/>
      <c r="AP59" s="19"/>
      <c r="AQ59" s="19">
        <f>Table1[[#This Row],[X_Ac]]*Table1[[#This Row],[S_Acryl_Ac]]</f>
        <v>0.18229521999999998</v>
      </c>
      <c r="AR59" s="19">
        <f>Table1[[#This Row],[Y_Acryl_Ac]]*Table1[[#This Row],[Ratio_Ac_Fa]]</f>
        <v>0.45573804999999995</v>
      </c>
      <c r="AS59" s="28">
        <f t="shared" ref="AS59:AS90" si="13">AVERAGE(BC59:BD59)</f>
        <v>2.7928566972406337</v>
      </c>
      <c r="AT59" s="16" t="s">
        <v>291</v>
      </c>
      <c r="AU59" s="10" t="s">
        <v>126</v>
      </c>
      <c r="AV59" s="30"/>
      <c r="AW59" s="10" t="s">
        <v>125</v>
      </c>
      <c r="AX59" s="10">
        <v>2023</v>
      </c>
      <c r="AY59" s="10">
        <v>3</v>
      </c>
      <c r="AZ59" s="10"/>
      <c r="BA59" s="20">
        <v>0.30641030491536031</v>
      </c>
      <c r="BB59" s="20">
        <v>0.76602576228840069</v>
      </c>
      <c r="BC59" s="20">
        <f>BA59*60*AR59/AY59</f>
        <v>2.7928566972406341</v>
      </c>
      <c r="BD59" s="20">
        <f>BB59*60*AQ59/AY59</f>
        <v>2.7928566972406337</v>
      </c>
    </row>
    <row r="60" spans="1:56" s="18" customFormat="1">
      <c r="A60" s="10">
        <v>59</v>
      </c>
      <c r="B60" s="13">
        <f>14/(18+14*0.1)</f>
        <v>0.72164948453608257</v>
      </c>
      <c r="C60" s="10" t="s">
        <v>11</v>
      </c>
      <c r="D60" s="10"/>
      <c r="E60" s="27">
        <v>1</v>
      </c>
      <c r="F60" s="27"/>
      <c r="G60" s="27"/>
      <c r="H60" s="27"/>
      <c r="I60" s="10" t="s">
        <v>205</v>
      </c>
      <c r="J60" s="10">
        <v>1</v>
      </c>
      <c r="K60" s="10"/>
      <c r="L60" s="10"/>
      <c r="M60" s="10" t="s">
        <v>7</v>
      </c>
      <c r="N60" s="10">
        <v>1.05</v>
      </c>
      <c r="O60" s="10"/>
      <c r="P60" s="10"/>
      <c r="Q60" s="10" t="s">
        <v>8</v>
      </c>
      <c r="R60" s="10"/>
      <c r="S60" s="10"/>
      <c r="T60" s="10">
        <v>0.1</v>
      </c>
      <c r="U60" s="10"/>
      <c r="V60" s="10"/>
      <c r="W60" s="10"/>
      <c r="X60" s="10"/>
      <c r="Y60" s="50"/>
      <c r="Z60" s="10">
        <v>20</v>
      </c>
      <c r="AA60" s="10" t="s">
        <v>24</v>
      </c>
      <c r="AB60" s="10">
        <v>1</v>
      </c>
      <c r="AC60" s="20">
        <f t="shared" si="10"/>
        <v>0.03</v>
      </c>
      <c r="AD60" s="10" t="s">
        <v>43</v>
      </c>
      <c r="AE60" s="10" t="s">
        <v>210</v>
      </c>
      <c r="AF60" s="10" t="s">
        <v>95</v>
      </c>
      <c r="AG60" s="10">
        <v>2.5</v>
      </c>
      <c r="AH60" s="10">
        <v>0</v>
      </c>
      <c r="AI60" s="27">
        <f t="shared" si="11"/>
        <v>1.3333333333333333</v>
      </c>
      <c r="AJ60" s="27">
        <f t="shared" si="12"/>
        <v>16.666666666666668</v>
      </c>
      <c r="AK60" s="10">
        <v>1</v>
      </c>
      <c r="AL60" s="10">
        <v>633</v>
      </c>
      <c r="AM60" s="19">
        <v>0.16719999999999999</v>
      </c>
      <c r="AN60" s="19">
        <v>0.87539999999999996</v>
      </c>
      <c r="AO60" s="19"/>
      <c r="AP60" s="19"/>
      <c r="AQ60" s="19">
        <f>Table1[[#This Row],[X_Ac]]*Table1[[#This Row],[S_Acryl_Ac]]</f>
        <v>0.14636687999999998</v>
      </c>
      <c r="AR60" s="19">
        <f>Table1[[#This Row],[Y_Acryl_Ac]]*Table1[[#This Row],[Ratio_Ac_Fa]]</f>
        <v>0.36591719999999994</v>
      </c>
      <c r="AS60" s="28">
        <f t="shared" si="13"/>
        <v>2.2424160165154974</v>
      </c>
      <c r="AT60" s="16" t="s">
        <v>292</v>
      </c>
      <c r="AU60" s="10" t="s">
        <v>126</v>
      </c>
      <c r="AV60" s="30"/>
      <c r="AW60" s="10" t="s">
        <v>125</v>
      </c>
      <c r="AX60" s="10">
        <v>2023</v>
      </c>
      <c r="AY60" s="10">
        <v>3</v>
      </c>
      <c r="AZ60" s="10"/>
      <c r="BA60" s="20">
        <v>0.30641030491536031</v>
      </c>
      <c r="BB60" s="20">
        <v>0.76602576228840069</v>
      </c>
      <c r="BC60" s="20">
        <f>BA60*60*AR60/AY60</f>
        <v>2.2424160165154974</v>
      </c>
      <c r="BD60" s="20">
        <f>BB60*60*AQ60/AY60</f>
        <v>2.2424160165154974</v>
      </c>
    </row>
    <row r="61" spans="1:56" s="18" customFormat="1">
      <c r="A61" s="10">
        <v>60</v>
      </c>
      <c r="B61" s="13">
        <f>1-0.33</f>
        <v>0.66999999999999993</v>
      </c>
      <c r="C61" s="10" t="s">
        <v>10</v>
      </c>
      <c r="D61" s="10"/>
      <c r="E61" s="27">
        <v>1</v>
      </c>
      <c r="F61" s="10"/>
      <c r="G61" s="10"/>
      <c r="H61" s="27"/>
      <c r="I61" s="10" t="s">
        <v>205</v>
      </c>
      <c r="J61" s="10">
        <v>1</v>
      </c>
      <c r="K61" s="10"/>
      <c r="L61" s="10"/>
      <c r="M61" s="10" t="s">
        <v>7</v>
      </c>
      <c r="N61" s="10">
        <v>1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50"/>
      <c r="Z61" s="10">
        <v>500</v>
      </c>
      <c r="AA61" s="10" t="s">
        <v>190</v>
      </c>
      <c r="AB61" s="10">
        <v>1</v>
      </c>
      <c r="AC61" s="20">
        <f t="shared" si="10"/>
        <v>0.03</v>
      </c>
      <c r="AD61" s="10" t="s">
        <v>43</v>
      </c>
      <c r="AE61" s="10" t="s">
        <v>210</v>
      </c>
      <c r="AF61" s="10" t="s">
        <v>95</v>
      </c>
      <c r="AG61" s="10">
        <v>2.5</v>
      </c>
      <c r="AH61" s="10">
        <v>0</v>
      </c>
      <c r="AI61" s="27">
        <f>1.33/3</f>
        <v>0.44333333333333336</v>
      </c>
      <c r="AJ61" s="27">
        <f t="shared" si="12"/>
        <v>16.666666666666668</v>
      </c>
      <c r="AK61" s="10">
        <v>1</v>
      </c>
      <c r="AL61" s="10">
        <v>633</v>
      </c>
      <c r="AM61" s="19">
        <v>0.31459999999999999</v>
      </c>
      <c r="AN61" s="19">
        <f>(60.1+12.7)/100</f>
        <v>0.72799999999999998</v>
      </c>
      <c r="AO61" s="19"/>
      <c r="AP61" s="19"/>
      <c r="AQ61" s="19">
        <f>Table1[[#This Row],[X_Ac]]*Table1[[#This Row],[S_Acryl_Ac]]</f>
        <v>0.22902879999999998</v>
      </c>
      <c r="AR61" s="19">
        <f>Table1[[#This Row],[Y_Acryl_Ac]]*Table1[[#This Row],[Ratio_Ac_Fa]]</f>
        <v>0.57257199999999997</v>
      </c>
      <c r="AS61" s="28">
        <f t="shared" si="13"/>
        <v>1.1666890413548843</v>
      </c>
      <c r="AT61" s="16" t="s">
        <v>296</v>
      </c>
      <c r="AU61" s="10" t="s">
        <v>187</v>
      </c>
      <c r="AV61" s="30"/>
      <c r="AW61" s="10" t="s">
        <v>188</v>
      </c>
      <c r="AX61" s="10">
        <v>2023</v>
      </c>
      <c r="AY61" s="10">
        <v>3</v>
      </c>
      <c r="AZ61" s="20">
        <v>0.10188142638435729</v>
      </c>
      <c r="BA61" s="20">
        <v>0.10188142638435729</v>
      </c>
      <c r="BB61" s="20">
        <v>0.25470356596089322</v>
      </c>
      <c r="BC61" s="20">
        <f>BA61*60*AR61/AY61</f>
        <v>1.1666890413548845</v>
      </c>
      <c r="BD61" s="20">
        <f>BB61*60*AQ61/AY61</f>
        <v>1.1666890413548843</v>
      </c>
    </row>
    <row r="62" spans="1:56" s="18" customFormat="1">
      <c r="A62" s="10">
        <v>61</v>
      </c>
      <c r="B62" s="13">
        <v>0.8</v>
      </c>
      <c r="C62" s="10" t="s">
        <v>11</v>
      </c>
      <c r="D62" s="10"/>
      <c r="E62" s="27">
        <v>1</v>
      </c>
      <c r="F62" s="27"/>
      <c r="G62" s="27"/>
      <c r="H62" s="27"/>
      <c r="I62" s="10" t="s">
        <v>205</v>
      </c>
      <c r="J62" s="10">
        <v>1</v>
      </c>
      <c r="K62" s="10"/>
      <c r="L62" s="10"/>
      <c r="M62" s="10" t="s">
        <v>7</v>
      </c>
      <c r="N62" s="10">
        <v>1.05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50"/>
      <c r="Z62" s="10">
        <v>20</v>
      </c>
      <c r="AA62" s="10" t="s">
        <v>189</v>
      </c>
      <c r="AB62" s="10">
        <v>1</v>
      </c>
      <c r="AC62" s="20">
        <f t="shared" si="10"/>
        <v>0.03</v>
      </c>
      <c r="AD62" s="10" t="s">
        <v>43</v>
      </c>
      <c r="AE62" s="10" t="s">
        <v>210</v>
      </c>
      <c r="AF62" s="10" t="s">
        <v>95</v>
      </c>
      <c r="AG62" s="10">
        <v>2.5</v>
      </c>
      <c r="AH62" s="10">
        <v>0</v>
      </c>
      <c r="AI62" s="27">
        <f>1.33/3</f>
        <v>0.44333333333333336</v>
      </c>
      <c r="AJ62" s="27">
        <f t="shared" si="12"/>
        <v>16.666666666666668</v>
      </c>
      <c r="AK62" s="10">
        <v>1</v>
      </c>
      <c r="AL62" s="10">
        <v>633</v>
      </c>
      <c r="AM62" s="19">
        <v>0.33400000000000002</v>
      </c>
      <c r="AN62" s="19">
        <f>(54.8+18.6)/100</f>
        <v>0.7340000000000001</v>
      </c>
      <c r="AO62" s="19"/>
      <c r="AP62" s="19"/>
      <c r="AQ62" s="19">
        <f>Table1[[#This Row],[X_Ac]]*Table1[[#This Row],[S_Acryl_Ac]]</f>
        <v>0.24515600000000004</v>
      </c>
      <c r="AR62" s="19">
        <f>Table1[[#This Row],[Y_Acryl_Ac]]*Table1[[#This Row],[Ratio_Ac_Fa]]</f>
        <v>0.61289000000000016</v>
      </c>
      <c r="AS62" s="28">
        <f t="shared" si="13"/>
        <v>1.248842148334175</v>
      </c>
      <c r="AT62" s="16" t="s">
        <v>295</v>
      </c>
      <c r="AU62" s="10" t="s">
        <v>187</v>
      </c>
      <c r="AV62" s="30"/>
      <c r="AW62" s="10" t="s">
        <v>188</v>
      </c>
      <c r="AX62" s="10">
        <v>2023</v>
      </c>
      <c r="AY62" s="10">
        <v>3</v>
      </c>
      <c r="AZ62" s="20">
        <v>0.10188142638435729</v>
      </c>
      <c r="BA62" s="20">
        <v>0.10188142638435729</v>
      </c>
      <c r="BB62" s="20">
        <v>0.25470356596089322</v>
      </c>
      <c r="BC62" s="20">
        <f>BA62*60*AR62/AY62</f>
        <v>1.2488421483341752</v>
      </c>
      <c r="BD62" s="20">
        <f>BB62*60*AQ62/AY62</f>
        <v>1.248842148334175</v>
      </c>
    </row>
    <row r="63" spans="1:56" s="18" customFormat="1">
      <c r="A63" s="10">
        <v>62</v>
      </c>
      <c r="B63" s="13">
        <f>14/(18+14*0.1)</f>
        <v>0.72164948453608257</v>
      </c>
      <c r="C63" s="10" t="s">
        <v>11</v>
      </c>
      <c r="D63" s="10"/>
      <c r="E63" s="27">
        <v>1</v>
      </c>
      <c r="F63" s="27"/>
      <c r="G63" s="27"/>
      <c r="H63" s="27"/>
      <c r="I63" s="10" t="s">
        <v>205</v>
      </c>
      <c r="J63" s="10">
        <v>1</v>
      </c>
      <c r="K63" s="10"/>
      <c r="L63" s="10"/>
      <c r="M63" s="10" t="s">
        <v>7</v>
      </c>
      <c r="N63" s="10">
        <v>1.05</v>
      </c>
      <c r="O63" s="10"/>
      <c r="P63" s="10"/>
      <c r="Q63" s="10" t="s">
        <v>10</v>
      </c>
      <c r="R63" s="10"/>
      <c r="S63" s="10"/>
      <c r="T63" s="10">
        <v>0.1</v>
      </c>
      <c r="U63" s="10"/>
      <c r="V63" s="10"/>
      <c r="W63" s="10"/>
      <c r="X63" s="10"/>
      <c r="Y63" s="50"/>
      <c r="Z63" s="10">
        <v>20</v>
      </c>
      <c r="AA63" s="10" t="s">
        <v>189</v>
      </c>
      <c r="AB63" s="10">
        <v>1</v>
      </c>
      <c r="AC63" s="20">
        <f t="shared" si="10"/>
        <v>0.03</v>
      </c>
      <c r="AD63" s="10" t="s">
        <v>43</v>
      </c>
      <c r="AE63" s="10" t="s">
        <v>210</v>
      </c>
      <c r="AF63" s="10" t="s">
        <v>95</v>
      </c>
      <c r="AG63" s="10">
        <v>2.5</v>
      </c>
      <c r="AH63" s="10">
        <v>0</v>
      </c>
      <c r="AI63" s="27">
        <f>1.33/3</f>
        <v>0.44333333333333336</v>
      </c>
      <c r="AJ63" s="27">
        <f t="shared" si="12"/>
        <v>16.666666666666668</v>
      </c>
      <c r="AK63" s="10">
        <v>1</v>
      </c>
      <c r="AL63" s="10">
        <v>633</v>
      </c>
      <c r="AM63" s="19">
        <v>0.35020000000000001</v>
      </c>
      <c r="AN63" s="19">
        <v>0.70409999999999995</v>
      </c>
      <c r="AO63" s="19"/>
      <c r="AP63" s="19"/>
      <c r="AQ63" s="19">
        <f>Table1[[#This Row],[X_Ac]]*Table1[[#This Row],[S_Acryl_Ac]]</f>
        <v>0.24657582</v>
      </c>
      <c r="AR63" s="19">
        <f>Table1[[#This Row],[Y_Acryl_Ac]]*Table1[[#This Row],[Ratio_Ac_Fa]]</f>
        <v>0.61643954999999995</v>
      </c>
      <c r="AS63" s="28">
        <f t="shared" si="13"/>
        <v>1.2560748126746266</v>
      </c>
      <c r="AT63" s="16" t="s">
        <v>294</v>
      </c>
      <c r="AU63" s="10" t="s">
        <v>187</v>
      </c>
      <c r="AV63" s="30"/>
      <c r="AW63" s="10" t="s">
        <v>188</v>
      </c>
      <c r="AX63" s="10">
        <v>2023</v>
      </c>
      <c r="AY63" s="10">
        <v>3</v>
      </c>
      <c r="AZ63" s="20">
        <v>0.10188142638435729</v>
      </c>
      <c r="BA63" s="20">
        <v>0.10188142638435729</v>
      </c>
      <c r="BB63" s="20">
        <v>0.25470356596089322</v>
      </c>
      <c r="BC63" s="20">
        <f>BA63*60*AR63/AY63</f>
        <v>1.2560748126746266</v>
      </c>
      <c r="BD63" s="20">
        <f>BB63*60*AQ63/AY63</f>
        <v>1.2560748126746266</v>
      </c>
    </row>
    <row r="64" spans="1:56" s="18" customFormat="1">
      <c r="A64" s="10">
        <v>63</v>
      </c>
      <c r="B64" s="13">
        <f>14/(18+14*0.1)</f>
        <v>0.72164948453608257</v>
      </c>
      <c r="C64" s="10" t="s">
        <v>11</v>
      </c>
      <c r="D64" s="10"/>
      <c r="E64" s="27">
        <v>1</v>
      </c>
      <c r="F64" s="27"/>
      <c r="G64" s="27"/>
      <c r="H64" s="27"/>
      <c r="I64" s="10" t="s">
        <v>205</v>
      </c>
      <c r="J64" s="10">
        <v>1</v>
      </c>
      <c r="K64" s="10"/>
      <c r="L64" s="10"/>
      <c r="M64" s="10" t="s">
        <v>7</v>
      </c>
      <c r="N64" s="10">
        <v>1.05</v>
      </c>
      <c r="O64" s="10"/>
      <c r="P64" s="10"/>
      <c r="Q64" s="10" t="s">
        <v>10</v>
      </c>
      <c r="R64" s="10"/>
      <c r="S64" s="10"/>
      <c r="T64" s="10">
        <v>0.1</v>
      </c>
      <c r="U64" s="10"/>
      <c r="V64" s="10"/>
      <c r="W64" s="10"/>
      <c r="X64" s="10"/>
      <c r="Y64" s="50"/>
      <c r="Z64" s="10">
        <v>20</v>
      </c>
      <c r="AA64" s="10" t="s">
        <v>189</v>
      </c>
      <c r="AB64" s="10">
        <v>1</v>
      </c>
      <c r="AC64" s="20">
        <f t="shared" si="10"/>
        <v>0.03</v>
      </c>
      <c r="AD64" s="10" t="s">
        <v>43</v>
      </c>
      <c r="AE64" s="10" t="s">
        <v>210</v>
      </c>
      <c r="AF64" s="10" t="s">
        <v>95</v>
      </c>
      <c r="AG64" s="10">
        <v>2.5</v>
      </c>
      <c r="AH64" s="10">
        <v>0</v>
      </c>
      <c r="AI64" s="27">
        <f>1.33/3</f>
        <v>0.44333333333333336</v>
      </c>
      <c r="AJ64" s="27">
        <f t="shared" si="12"/>
        <v>16.666666666666668</v>
      </c>
      <c r="AK64" s="10">
        <v>1</v>
      </c>
      <c r="AL64" s="10">
        <v>633</v>
      </c>
      <c r="AM64" s="19">
        <v>0.35599999999999998</v>
      </c>
      <c r="AN64" s="19">
        <v>0.94099999999999995</v>
      </c>
      <c r="AO64" s="19"/>
      <c r="AP64" s="19"/>
      <c r="AQ64" s="19">
        <f>Table1[[#This Row],[X_Ac]]*Table1[[#This Row],[S_Acryl_Ac]]</f>
        <v>0.33499599999999996</v>
      </c>
      <c r="AR64" s="19">
        <f>Table1[[#This Row],[Y_Acryl_Ac]]*Table1[[#This Row],[Ratio_Ac_Fa]]</f>
        <v>0.83748999999999985</v>
      </c>
      <c r="AS64" s="28">
        <f t="shared" si="13"/>
        <v>1.7064935156527075</v>
      </c>
      <c r="AT64" s="16" t="s">
        <v>293</v>
      </c>
      <c r="AU64" s="10" t="s">
        <v>187</v>
      </c>
      <c r="AV64" s="30" t="s">
        <v>219</v>
      </c>
      <c r="AW64" s="10" t="s">
        <v>188</v>
      </c>
      <c r="AX64" s="10">
        <v>2023</v>
      </c>
      <c r="AY64" s="10">
        <v>3</v>
      </c>
      <c r="AZ64" s="20">
        <v>0.10188142638435729</v>
      </c>
      <c r="BA64" s="20">
        <v>0.10188142638435729</v>
      </c>
      <c r="BB64" s="20">
        <v>0.25470356596089322</v>
      </c>
      <c r="BC64" s="20">
        <f>BA64*60*AR64/AY64</f>
        <v>1.7064935156527075</v>
      </c>
      <c r="BD64" s="20">
        <f>BB64*60*AQ64/AY64</f>
        <v>1.7064935156527075</v>
      </c>
    </row>
    <row r="65" spans="1:56" s="18" customFormat="1">
      <c r="A65" s="10">
        <v>64</v>
      </c>
      <c r="B65" s="13">
        <f>1-0.33</f>
        <v>0.66999999999999993</v>
      </c>
      <c r="C65" s="10" t="s">
        <v>10</v>
      </c>
      <c r="D65" s="10"/>
      <c r="E65" s="27">
        <v>1</v>
      </c>
      <c r="F65" s="10"/>
      <c r="G65" s="10"/>
      <c r="H65" s="27"/>
      <c r="I65" s="10" t="s">
        <v>205</v>
      </c>
      <c r="J65" s="10">
        <v>1</v>
      </c>
      <c r="K65" s="10"/>
      <c r="L65" s="10"/>
      <c r="M65" s="10" t="s">
        <v>7</v>
      </c>
      <c r="N65" s="10">
        <v>1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50"/>
      <c r="Z65" s="10">
        <v>131</v>
      </c>
      <c r="AA65" s="10"/>
      <c r="AB65" s="10">
        <v>1</v>
      </c>
      <c r="AC65" s="20">
        <f>10/(90+10)</f>
        <v>0.1</v>
      </c>
      <c r="AD65" s="10" t="s">
        <v>43</v>
      </c>
      <c r="AE65" s="10" t="s">
        <v>210</v>
      </c>
      <c r="AF65" s="10" t="s">
        <v>95</v>
      </c>
      <c r="AG65" s="10">
        <v>2.5</v>
      </c>
      <c r="AH65" s="10">
        <v>0</v>
      </c>
      <c r="AI65" s="27">
        <f>1.6*5/3</f>
        <v>2.6666666666666665</v>
      </c>
      <c r="AJ65" s="27"/>
      <c r="AK65" s="10">
        <v>1</v>
      </c>
      <c r="AL65" s="10">
        <v>633</v>
      </c>
      <c r="AM65" s="19">
        <v>0.182</v>
      </c>
      <c r="AN65" s="19">
        <v>0.96599999999999997</v>
      </c>
      <c r="AO65" s="19"/>
      <c r="AP65" s="19"/>
      <c r="AQ65" s="19">
        <f>Table1[[#This Row],[X_Ac]]*Table1[[#This Row],[S_Acryl_Ac]]</f>
        <v>0.175812</v>
      </c>
      <c r="AR65" s="19">
        <f>Table1[[#This Row],[Y_Acryl_Ac]]*Table1[[#This Row],[Ratio_Ac_Fa]]</f>
        <v>0.43952999999999998</v>
      </c>
      <c r="AS65" s="28">
        <f t="shared" si="13"/>
        <v>5.3870608527779318</v>
      </c>
      <c r="AT65" s="16">
        <v>1</v>
      </c>
      <c r="AU65" s="10" t="s">
        <v>214</v>
      </c>
      <c r="AV65" s="30"/>
      <c r="AW65" s="10" t="s">
        <v>188</v>
      </c>
      <c r="AX65" s="10">
        <v>2024</v>
      </c>
      <c r="AY65" s="10">
        <v>3</v>
      </c>
      <c r="AZ65" s="20"/>
      <c r="BA65" s="20">
        <v>0.61282060983072062</v>
      </c>
      <c r="BB65" s="20">
        <v>1.5320515245768014</v>
      </c>
      <c r="BC65" s="20">
        <f>BA65*60*AR65/AY65</f>
        <v>5.3870608527779327</v>
      </c>
      <c r="BD65" s="20">
        <f>BB65*60*AQ65/AY65</f>
        <v>5.3870608527779318</v>
      </c>
    </row>
    <row r="66" spans="1:56" s="18" customFormat="1">
      <c r="A66" s="10">
        <v>65</v>
      </c>
      <c r="B66" s="13">
        <v>0</v>
      </c>
      <c r="C66" s="10"/>
      <c r="D66" s="10"/>
      <c r="E66" s="27"/>
      <c r="F66" s="10"/>
      <c r="G66" s="10"/>
      <c r="H66" s="27"/>
      <c r="I66" s="10" t="s">
        <v>205</v>
      </c>
      <c r="J66" s="10">
        <v>1</v>
      </c>
      <c r="K66" s="10"/>
      <c r="L66" s="10"/>
      <c r="M66" s="10" t="s">
        <v>7</v>
      </c>
      <c r="N66" s="11">
        <v>1.4</v>
      </c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51">
        <v>19.5</v>
      </c>
      <c r="Z66" s="51"/>
      <c r="AA66" s="11" t="s">
        <v>27</v>
      </c>
      <c r="AB66" s="10">
        <v>1</v>
      </c>
      <c r="AC66" s="20">
        <f t="shared" ref="AC66:AC80" si="14">3/(20+3)</f>
        <v>0.13043478260869565</v>
      </c>
      <c r="AD66" s="11" t="s">
        <v>43</v>
      </c>
      <c r="AE66" s="11" t="s">
        <v>211</v>
      </c>
      <c r="AF66" s="11" t="s">
        <v>95</v>
      </c>
      <c r="AG66" s="11">
        <v>3.5</v>
      </c>
      <c r="AH66" s="11">
        <v>0</v>
      </c>
      <c r="AI66" s="13">
        <f t="shared" ref="AI66:AI80" si="15">1/0.6</f>
        <v>1.6666666666666667</v>
      </c>
      <c r="AJ66" s="13">
        <f t="shared" ref="AJ66:AJ80" si="16">23/0.6</f>
        <v>38.333333333333336</v>
      </c>
      <c r="AK66" s="11">
        <v>1</v>
      </c>
      <c r="AL66" s="11">
        <v>623</v>
      </c>
      <c r="AM66" s="14">
        <v>0.253</v>
      </c>
      <c r="AN66" s="14">
        <v>0.68600000000000005</v>
      </c>
      <c r="AO66" s="14"/>
      <c r="AP66" s="14"/>
      <c r="AQ66" s="19">
        <f>Table1[[#This Row],[X_Ac]]*Table1[[#This Row],[S_Acryl_Ac]]</f>
        <v>0.17355800000000002</v>
      </c>
      <c r="AR66" s="14">
        <f t="shared" ref="AR66:AR80" si="17">AQ66*AG66</f>
        <v>0.60745300000000002</v>
      </c>
      <c r="AS66" s="28">
        <f t="shared" si="13"/>
        <v>5.0530763807937831</v>
      </c>
      <c r="AT66" s="16"/>
      <c r="AU66" s="11" t="s">
        <v>101</v>
      </c>
      <c r="AV66" s="17" t="s">
        <v>105</v>
      </c>
      <c r="AW66" s="10" t="s">
        <v>103</v>
      </c>
      <c r="AX66" s="10">
        <v>2018</v>
      </c>
      <c r="AY66" s="10">
        <f t="shared" ref="AY66:AY80" si="18">1/5*3</f>
        <v>0.60000000000000009</v>
      </c>
      <c r="AZ66" s="10"/>
      <c r="BA66" s="20">
        <v>8.3184647714206431E-2</v>
      </c>
      <c r="BB66" s="20">
        <v>0.29114626699972246</v>
      </c>
      <c r="BC66" s="20">
        <f>BA66*60*AR66/AY66</f>
        <v>5.0530763807937831</v>
      </c>
      <c r="BD66" s="20">
        <f>BB66*60*AQ66/AY66</f>
        <v>5.0530763807937831</v>
      </c>
    </row>
    <row r="67" spans="1:56" s="18" customFormat="1">
      <c r="A67" s="10">
        <v>66</v>
      </c>
      <c r="B67" s="13">
        <v>0</v>
      </c>
      <c r="C67" s="10"/>
      <c r="D67" s="10"/>
      <c r="E67" s="27"/>
      <c r="F67" s="10"/>
      <c r="G67" s="10"/>
      <c r="H67" s="27"/>
      <c r="I67" s="10" t="s">
        <v>205</v>
      </c>
      <c r="J67" s="10">
        <v>1</v>
      </c>
      <c r="K67" s="10"/>
      <c r="L67" s="10"/>
      <c r="M67" s="10" t="s">
        <v>7</v>
      </c>
      <c r="N67" s="10">
        <v>1.4</v>
      </c>
      <c r="O67" s="10"/>
      <c r="P67" s="10"/>
      <c r="Q67" s="10" t="s">
        <v>104</v>
      </c>
      <c r="R67" s="10">
        <v>0.02</v>
      </c>
      <c r="S67" s="10"/>
      <c r="T67" s="10"/>
      <c r="U67" s="10"/>
      <c r="V67" s="10"/>
      <c r="W67" s="10"/>
      <c r="X67" s="10"/>
      <c r="Y67" s="50">
        <v>5.8</v>
      </c>
      <c r="Z67" s="50">
        <v>19.5</v>
      </c>
      <c r="AA67" s="10" t="s">
        <v>27</v>
      </c>
      <c r="AB67" s="10">
        <v>1</v>
      </c>
      <c r="AC67" s="20">
        <f t="shared" si="14"/>
        <v>0.13043478260869565</v>
      </c>
      <c r="AD67" s="10" t="s">
        <v>43</v>
      </c>
      <c r="AE67" s="10" t="s">
        <v>211</v>
      </c>
      <c r="AF67" s="10" t="s">
        <v>95</v>
      </c>
      <c r="AG67" s="10">
        <v>3.5</v>
      </c>
      <c r="AH67" s="10">
        <v>0</v>
      </c>
      <c r="AI67" s="13">
        <f t="shared" si="15"/>
        <v>1.6666666666666667</v>
      </c>
      <c r="AJ67" s="13">
        <f t="shared" si="16"/>
        <v>38.333333333333336</v>
      </c>
      <c r="AK67" s="10">
        <v>1</v>
      </c>
      <c r="AL67" s="10">
        <v>623</v>
      </c>
      <c r="AM67" s="19">
        <v>0.17599999999999999</v>
      </c>
      <c r="AN67" s="19">
        <v>0.57199999999999995</v>
      </c>
      <c r="AO67" s="19"/>
      <c r="AP67" s="19"/>
      <c r="AQ67" s="19">
        <f>Table1[[#This Row],[X_Ac]]*Table1[[#This Row],[S_Acryl_Ac]]</f>
        <v>0.10067199999999998</v>
      </c>
      <c r="AR67" s="19">
        <f t="shared" si="17"/>
        <v>0.35235199999999994</v>
      </c>
      <c r="AS67" s="28">
        <f t="shared" si="13"/>
        <v>2.9310276991396051</v>
      </c>
      <c r="AT67" s="29"/>
      <c r="AU67" s="10" t="s">
        <v>101</v>
      </c>
      <c r="AV67" s="17" t="s">
        <v>328</v>
      </c>
      <c r="AW67" s="10" t="s">
        <v>103</v>
      </c>
      <c r="AX67" s="10">
        <v>2018</v>
      </c>
      <c r="AY67" s="10">
        <f t="shared" si="18"/>
        <v>0.60000000000000009</v>
      </c>
      <c r="AZ67" s="10"/>
      <c r="BA67" s="20">
        <v>8.3184647714206431E-2</v>
      </c>
      <c r="BB67" s="20">
        <v>0.29114626699972246</v>
      </c>
      <c r="BC67" s="20">
        <f>BA67*60*AR67/AY67</f>
        <v>2.9310276991396056</v>
      </c>
      <c r="BD67" s="20">
        <f>BB67*60*AQ67/AY67</f>
        <v>2.9310276991396051</v>
      </c>
    </row>
    <row r="68" spans="1:56" s="18" customFormat="1">
      <c r="A68" s="10">
        <v>67</v>
      </c>
      <c r="B68" s="13">
        <v>0</v>
      </c>
      <c r="C68" s="10"/>
      <c r="D68" s="10"/>
      <c r="E68" s="27"/>
      <c r="F68" s="10"/>
      <c r="G68" s="10"/>
      <c r="H68" s="27"/>
      <c r="I68" s="10" t="s">
        <v>205</v>
      </c>
      <c r="J68" s="10">
        <v>1</v>
      </c>
      <c r="K68" s="10"/>
      <c r="L68" s="10"/>
      <c r="M68" s="10" t="s">
        <v>7</v>
      </c>
      <c r="N68" s="10">
        <v>1.4</v>
      </c>
      <c r="O68" s="10"/>
      <c r="P68" s="10"/>
      <c r="Q68" s="10" t="s">
        <v>104</v>
      </c>
      <c r="R68" s="10">
        <v>0.04</v>
      </c>
      <c r="S68" s="10"/>
      <c r="T68" s="10"/>
      <c r="U68" s="10"/>
      <c r="V68" s="10"/>
      <c r="W68" s="10"/>
      <c r="X68" s="10"/>
      <c r="Y68" s="50">
        <v>12.5</v>
      </c>
      <c r="Z68" s="50">
        <v>19.5</v>
      </c>
      <c r="AA68" s="10" t="s">
        <v>27</v>
      </c>
      <c r="AB68" s="10">
        <v>1</v>
      </c>
      <c r="AC68" s="20">
        <f t="shared" si="14"/>
        <v>0.13043478260869565</v>
      </c>
      <c r="AD68" s="10" t="s">
        <v>43</v>
      </c>
      <c r="AE68" s="10" t="s">
        <v>211</v>
      </c>
      <c r="AF68" s="10" t="s">
        <v>95</v>
      </c>
      <c r="AG68" s="10">
        <v>3.5</v>
      </c>
      <c r="AH68" s="10">
        <v>0</v>
      </c>
      <c r="AI68" s="13">
        <f t="shared" si="15"/>
        <v>1.6666666666666667</v>
      </c>
      <c r="AJ68" s="13">
        <f t="shared" si="16"/>
        <v>38.333333333333336</v>
      </c>
      <c r="AK68" s="10">
        <v>1</v>
      </c>
      <c r="AL68" s="10">
        <v>623</v>
      </c>
      <c r="AM68" s="19">
        <v>0.23499999999999999</v>
      </c>
      <c r="AN68" s="19">
        <v>0.69299999999999995</v>
      </c>
      <c r="AO68" s="19"/>
      <c r="AP68" s="19"/>
      <c r="AQ68" s="19">
        <f>Table1[[#This Row],[X_Ac]]*Table1[[#This Row],[S_Acryl_Ac]]</f>
        <v>0.16285499999999997</v>
      </c>
      <c r="AR68" s="19">
        <f t="shared" si="17"/>
        <v>0.5699924999999999</v>
      </c>
      <c r="AS68" s="28">
        <f t="shared" si="13"/>
        <v>4.7414625312239789</v>
      </c>
      <c r="AT68" s="29"/>
      <c r="AU68" s="10" t="s">
        <v>101</v>
      </c>
      <c r="AV68" s="17" t="s">
        <v>328</v>
      </c>
      <c r="AW68" s="10" t="s">
        <v>103</v>
      </c>
      <c r="AX68" s="10">
        <v>2018</v>
      </c>
      <c r="AY68" s="10">
        <f t="shared" si="18"/>
        <v>0.60000000000000009</v>
      </c>
      <c r="AZ68" s="10"/>
      <c r="BA68" s="20">
        <v>8.3184647714206431E-2</v>
      </c>
      <c r="BB68" s="20">
        <v>0.29114626699972246</v>
      </c>
      <c r="BC68" s="20">
        <f>BA68*60*AR68/AY68</f>
        <v>4.7414625312239798</v>
      </c>
      <c r="BD68" s="20">
        <f>BB68*60*AQ68/AY68</f>
        <v>4.7414625312239789</v>
      </c>
    </row>
    <row r="69" spans="1:56" s="18" customFormat="1">
      <c r="A69" s="10">
        <v>68</v>
      </c>
      <c r="B69" s="13">
        <v>0</v>
      </c>
      <c r="C69" s="10"/>
      <c r="D69" s="10"/>
      <c r="E69" s="27"/>
      <c r="F69" s="10"/>
      <c r="G69" s="10"/>
      <c r="H69" s="27"/>
      <c r="I69" s="10" t="s">
        <v>205</v>
      </c>
      <c r="J69" s="10">
        <v>1</v>
      </c>
      <c r="K69" s="10"/>
      <c r="L69" s="10"/>
      <c r="M69" s="10" t="s">
        <v>7</v>
      </c>
      <c r="N69" s="10">
        <v>1.2</v>
      </c>
      <c r="O69" s="10"/>
      <c r="P69" s="10"/>
      <c r="Q69" s="10" t="s">
        <v>104</v>
      </c>
      <c r="R69" s="10">
        <v>0.06</v>
      </c>
      <c r="S69" s="10"/>
      <c r="T69" s="10"/>
      <c r="U69" s="10"/>
      <c r="V69" s="10"/>
      <c r="W69" s="10"/>
      <c r="X69" s="10"/>
      <c r="Y69" s="50">
        <v>17.399999999999999</v>
      </c>
      <c r="Z69" s="50">
        <v>19.5</v>
      </c>
      <c r="AA69" s="10" t="s">
        <v>27</v>
      </c>
      <c r="AB69" s="10">
        <v>1</v>
      </c>
      <c r="AC69" s="20">
        <f t="shared" si="14"/>
        <v>0.13043478260869565</v>
      </c>
      <c r="AD69" s="10" t="s">
        <v>43</v>
      </c>
      <c r="AE69" s="10" t="s">
        <v>211</v>
      </c>
      <c r="AF69" s="10" t="s">
        <v>95</v>
      </c>
      <c r="AG69" s="10">
        <v>3.5</v>
      </c>
      <c r="AH69" s="10">
        <v>0</v>
      </c>
      <c r="AI69" s="13">
        <f t="shared" si="15"/>
        <v>1.6666666666666667</v>
      </c>
      <c r="AJ69" s="13">
        <f t="shared" si="16"/>
        <v>38.333333333333336</v>
      </c>
      <c r="AK69" s="10">
        <v>1</v>
      </c>
      <c r="AL69" s="10">
        <v>623</v>
      </c>
      <c r="AM69" s="19">
        <v>0.3</v>
      </c>
      <c r="AN69" s="19">
        <v>0.495</v>
      </c>
      <c r="AO69" s="19"/>
      <c r="AP69" s="19"/>
      <c r="AQ69" s="19">
        <f>Table1[[#This Row],[X_Ac]]*Table1[[#This Row],[S_Acryl_Ac]]</f>
        <v>0.14849999999999999</v>
      </c>
      <c r="AR69" s="19">
        <f t="shared" si="17"/>
        <v>0.51974999999999993</v>
      </c>
      <c r="AS69" s="28">
        <f t="shared" si="13"/>
        <v>4.3235220649458777</v>
      </c>
      <c r="AT69" s="29"/>
      <c r="AU69" s="10" t="s">
        <v>101</v>
      </c>
      <c r="AV69" s="17" t="s">
        <v>328</v>
      </c>
      <c r="AW69" s="10" t="s">
        <v>103</v>
      </c>
      <c r="AX69" s="10">
        <v>2018</v>
      </c>
      <c r="AY69" s="10">
        <f t="shared" si="18"/>
        <v>0.60000000000000009</v>
      </c>
      <c r="AZ69" s="10"/>
      <c r="BA69" s="20">
        <v>8.3184647714206431E-2</v>
      </c>
      <c r="BB69" s="20">
        <v>0.29114626699972246</v>
      </c>
      <c r="BC69" s="20">
        <f>BA69*60*AR69/AY69</f>
        <v>4.3235220649458777</v>
      </c>
      <c r="BD69" s="20">
        <f>BB69*60*AQ69/AY69</f>
        <v>4.3235220649458777</v>
      </c>
    </row>
    <row r="70" spans="1:56" s="18" customFormat="1">
      <c r="A70" s="10">
        <v>69</v>
      </c>
      <c r="B70" s="13">
        <v>0</v>
      </c>
      <c r="C70" s="10"/>
      <c r="D70" s="10"/>
      <c r="E70" s="27"/>
      <c r="F70" s="10"/>
      <c r="G70" s="10"/>
      <c r="H70" s="27"/>
      <c r="I70" s="10" t="s">
        <v>205</v>
      </c>
      <c r="J70" s="10">
        <v>1</v>
      </c>
      <c r="K70" s="10"/>
      <c r="L70" s="10"/>
      <c r="M70" s="10" t="s">
        <v>7</v>
      </c>
      <c r="N70" s="10">
        <v>1.3</v>
      </c>
      <c r="O70" s="10"/>
      <c r="P70" s="10"/>
      <c r="Q70" s="10" t="s">
        <v>104</v>
      </c>
      <c r="R70" s="10">
        <v>0.06</v>
      </c>
      <c r="S70" s="10"/>
      <c r="T70" s="10"/>
      <c r="U70" s="10"/>
      <c r="V70" s="10"/>
      <c r="W70" s="10"/>
      <c r="X70" s="10"/>
      <c r="Y70" s="50">
        <v>17.399999999999999</v>
      </c>
      <c r="Z70" s="50">
        <v>19.5</v>
      </c>
      <c r="AA70" s="10" t="s">
        <v>27</v>
      </c>
      <c r="AB70" s="10">
        <v>1</v>
      </c>
      <c r="AC70" s="20">
        <f t="shared" si="14"/>
        <v>0.13043478260869565</v>
      </c>
      <c r="AD70" s="10" t="s">
        <v>43</v>
      </c>
      <c r="AE70" s="10" t="s">
        <v>211</v>
      </c>
      <c r="AF70" s="10" t="s">
        <v>95</v>
      </c>
      <c r="AG70" s="10">
        <v>3.5</v>
      </c>
      <c r="AH70" s="10">
        <v>0</v>
      </c>
      <c r="AI70" s="13">
        <f t="shared" si="15"/>
        <v>1.6666666666666667</v>
      </c>
      <c r="AJ70" s="13">
        <f t="shared" si="16"/>
        <v>38.333333333333336</v>
      </c>
      <c r="AK70" s="10">
        <v>1</v>
      </c>
      <c r="AL70" s="10">
        <v>623</v>
      </c>
      <c r="AM70" s="19">
        <v>0.23200000000000001</v>
      </c>
      <c r="AN70" s="19">
        <v>0.67600000000000005</v>
      </c>
      <c r="AO70" s="19"/>
      <c r="AP70" s="19"/>
      <c r="AQ70" s="19">
        <f>Table1[[#This Row],[X_Ac]]*Table1[[#This Row],[S_Acryl_Ac]]</f>
        <v>0.15683200000000003</v>
      </c>
      <c r="AR70" s="19">
        <f t="shared" si="17"/>
        <v>0.54891200000000007</v>
      </c>
      <c r="AS70" s="28">
        <f t="shared" si="13"/>
        <v>4.5661051346100479</v>
      </c>
      <c r="AT70" s="29"/>
      <c r="AU70" s="10" t="s">
        <v>101</v>
      </c>
      <c r="AV70" s="17" t="s">
        <v>328</v>
      </c>
      <c r="AW70" s="10" t="s">
        <v>103</v>
      </c>
      <c r="AX70" s="10">
        <v>2018</v>
      </c>
      <c r="AY70" s="10">
        <f t="shared" si="18"/>
        <v>0.60000000000000009</v>
      </c>
      <c r="AZ70" s="10"/>
      <c r="BA70" s="20">
        <v>8.3184647714206431E-2</v>
      </c>
      <c r="BB70" s="20">
        <v>0.29114626699972246</v>
      </c>
      <c r="BC70" s="20">
        <f>BA70*60*AR70/AY70</f>
        <v>4.5661051346100479</v>
      </c>
      <c r="BD70" s="20">
        <f>BB70*60*AQ70/AY70</f>
        <v>4.5661051346100479</v>
      </c>
    </row>
    <row r="71" spans="1:56" s="18" customFormat="1">
      <c r="A71" s="10">
        <v>70</v>
      </c>
      <c r="B71" s="13">
        <v>0</v>
      </c>
      <c r="C71" s="10"/>
      <c r="D71" s="10"/>
      <c r="E71" s="27"/>
      <c r="F71" s="10"/>
      <c r="G71" s="10"/>
      <c r="H71" s="27"/>
      <c r="I71" s="10" t="s">
        <v>205</v>
      </c>
      <c r="J71" s="10">
        <v>1</v>
      </c>
      <c r="K71" s="10"/>
      <c r="L71" s="10"/>
      <c r="M71" s="10" t="s">
        <v>7</v>
      </c>
      <c r="N71" s="10">
        <v>1.4</v>
      </c>
      <c r="O71" s="10"/>
      <c r="P71" s="10"/>
      <c r="Q71" s="10" t="s">
        <v>104</v>
      </c>
      <c r="R71" s="10">
        <v>0.06</v>
      </c>
      <c r="S71" s="10"/>
      <c r="T71" s="10"/>
      <c r="U71" s="10"/>
      <c r="V71" s="10"/>
      <c r="W71" s="10"/>
      <c r="X71" s="10"/>
      <c r="Y71" s="50">
        <v>17.399999999999999</v>
      </c>
      <c r="Z71" s="50">
        <v>19.5</v>
      </c>
      <c r="AA71" s="10" t="s">
        <v>27</v>
      </c>
      <c r="AB71" s="10">
        <v>1</v>
      </c>
      <c r="AC71" s="20">
        <f t="shared" si="14"/>
        <v>0.13043478260869565</v>
      </c>
      <c r="AD71" s="10" t="s">
        <v>43</v>
      </c>
      <c r="AE71" s="10" t="s">
        <v>211</v>
      </c>
      <c r="AF71" s="10" t="s">
        <v>95</v>
      </c>
      <c r="AG71" s="10">
        <v>3.5</v>
      </c>
      <c r="AH71" s="10">
        <v>0</v>
      </c>
      <c r="AI71" s="13">
        <f t="shared" si="15"/>
        <v>1.6666666666666667</v>
      </c>
      <c r="AJ71" s="13">
        <f t="shared" si="16"/>
        <v>38.333333333333336</v>
      </c>
      <c r="AK71" s="10">
        <v>1</v>
      </c>
      <c r="AL71" s="10">
        <v>623</v>
      </c>
      <c r="AM71" s="19">
        <v>0.222</v>
      </c>
      <c r="AN71" s="19">
        <v>0.83399999999999996</v>
      </c>
      <c r="AO71" s="19"/>
      <c r="AP71" s="19"/>
      <c r="AQ71" s="19">
        <f>Table1[[#This Row],[X_Ac]]*Table1[[#This Row],[S_Acryl_Ac]]</f>
        <v>0.18514800000000001</v>
      </c>
      <c r="AR71" s="19">
        <f t="shared" si="17"/>
        <v>0.64801799999999998</v>
      </c>
      <c r="AS71" s="28">
        <f t="shared" si="13"/>
        <v>5.3905149042464613</v>
      </c>
      <c r="AT71" s="29"/>
      <c r="AU71" s="10" t="s">
        <v>101</v>
      </c>
      <c r="AV71" s="17" t="s">
        <v>328</v>
      </c>
      <c r="AW71" s="10" t="s">
        <v>103</v>
      </c>
      <c r="AX71" s="10">
        <v>2018</v>
      </c>
      <c r="AY71" s="10">
        <f t="shared" si="18"/>
        <v>0.60000000000000009</v>
      </c>
      <c r="AZ71" s="10"/>
      <c r="BA71" s="20">
        <v>8.3184647714206431E-2</v>
      </c>
      <c r="BB71" s="20">
        <v>0.29114626699972246</v>
      </c>
      <c r="BC71" s="20">
        <f>BA71*60*AR71/AY71</f>
        <v>5.3905149042464613</v>
      </c>
      <c r="BD71" s="20">
        <f>BB71*60*AQ71/AY71</f>
        <v>5.3905149042464613</v>
      </c>
    </row>
    <row r="72" spans="1:56" s="18" customFormat="1">
      <c r="A72" s="10">
        <v>71</v>
      </c>
      <c r="B72" s="13">
        <v>0</v>
      </c>
      <c r="C72" s="10"/>
      <c r="D72" s="10"/>
      <c r="E72" s="27"/>
      <c r="F72" s="10"/>
      <c r="G72" s="10"/>
      <c r="H72" s="27"/>
      <c r="I72" s="10" t="s">
        <v>205</v>
      </c>
      <c r="J72" s="10">
        <v>1</v>
      </c>
      <c r="K72" s="10"/>
      <c r="L72" s="10"/>
      <c r="M72" s="10" t="s">
        <v>7</v>
      </c>
      <c r="N72" s="10">
        <v>1.5</v>
      </c>
      <c r="O72" s="10"/>
      <c r="P72" s="10"/>
      <c r="Q72" s="10" t="s">
        <v>104</v>
      </c>
      <c r="R72" s="10">
        <v>0.06</v>
      </c>
      <c r="S72" s="10"/>
      <c r="T72" s="10"/>
      <c r="U72" s="10"/>
      <c r="V72" s="10"/>
      <c r="W72" s="10"/>
      <c r="X72" s="10"/>
      <c r="Y72" s="50">
        <v>17.399999999999999</v>
      </c>
      <c r="Z72" s="50">
        <v>19.5</v>
      </c>
      <c r="AA72" s="10" t="s">
        <v>27</v>
      </c>
      <c r="AB72" s="10">
        <v>1</v>
      </c>
      <c r="AC72" s="20">
        <f t="shared" si="14"/>
        <v>0.13043478260869565</v>
      </c>
      <c r="AD72" s="10" t="s">
        <v>43</v>
      </c>
      <c r="AE72" s="10" t="s">
        <v>211</v>
      </c>
      <c r="AF72" s="10" t="s">
        <v>95</v>
      </c>
      <c r="AG72" s="10">
        <v>3.5</v>
      </c>
      <c r="AH72" s="10">
        <v>0</v>
      </c>
      <c r="AI72" s="13">
        <f t="shared" si="15"/>
        <v>1.6666666666666667</v>
      </c>
      <c r="AJ72" s="13">
        <f t="shared" si="16"/>
        <v>38.333333333333336</v>
      </c>
      <c r="AK72" s="10">
        <v>1</v>
      </c>
      <c r="AL72" s="10">
        <v>623</v>
      </c>
      <c r="AM72" s="19">
        <v>0.27600000000000002</v>
      </c>
      <c r="AN72" s="19">
        <v>0.51900000000000002</v>
      </c>
      <c r="AO72" s="19"/>
      <c r="AP72" s="19"/>
      <c r="AQ72" s="19">
        <f>Table1[[#This Row],[X_Ac]]*Table1[[#This Row],[S_Acryl_Ac]]</f>
        <v>0.14324400000000001</v>
      </c>
      <c r="AR72" s="19">
        <f t="shared" si="17"/>
        <v>0.50135400000000008</v>
      </c>
      <c r="AS72" s="28">
        <f t="shared" si="13"/>
        <v>4.1704955870108247</v>
      </c>
      <c r="AT72" s="29"/>
      <c r="AU72" s="10" t="s">
        <v>101</v>
      </c>
      <c r="AV72" s="17" t="s">
        <v>328</v>
      </c>
      <c r="AW72" s="10" t="s">
        <v>103</v>
      </c>
      <c r="AX72" s="10">
        <v>2018</v>
      </c>
      <c r="AY72" s="10">
        <f t="shared" si="18"/>
        <v>0.60000000000000009</v>
      </c>
      <c r="AZ72" s="10"/>
      <c r="BA72" s="20">
        <v>8.3184647714206431E-2</v>
      </c>
      <c r="BB72" s="20">
        <v>0.29114626699972246</v>
      </c>
      <c r="BC72" s="20">
        <f>BA72*60*AR72/AY72</f>
        <v>4.1704955870108256</v>
      </c>
      <c r="BD72" s="20">
        <f>BB72*60*AQ72/AY72</f>
        <v>4.1704955870108247</v>
      </c>
    </row>
    <row r="73" spans="1:56" s="18" customFormat="1">
      <c r="A73" s="10">
        <v>72</v>
      </c>
      <c r="B73" s="13">
        <v>0</v>
      </c>
      <c r="C73" s="10"/>
      <c r="D73" s="10"/>
      <c r="E73" s="27"/>
      <c r="F73" s="10"/>
      <c r="G73" s="10"/>
      <c r="H73" s="27"/>
      <c r="I73" s="10" t="s">
        <v>205</v>
      </c>
      <c r="J73" s="10">
        <v>1</v>
      </c>
      <c r="K73" s="10"/>
      <c r="L73" s="10"/>
      <c r="M73" s="10" t="s">
        <v>7</v>
      </c>
      <c r="N73" s="10">
        <v>1.4</v>
      </c>
      <c r="O73" s="10"/>
      <c r="P73" s="10"/>
      <c r="Q73" s="10" t="s">
        <v>104</v>
      </c>
      <c r="R73" s="10">
        <v>0.08</v>
      </c>
      <c r="S73" s="10"/>
      <c r="T73" s="10"/>
      <c r="U73" s="10"/>
      <c r="V73" s="10"/>
      <c r="W73" s="10"/>
      <c r="X73" s="10"/>
      <c r="Y73" s="50">
        <v>16</v>
      </c>
      <c r="Z73" s="50">
        <v>19.5</v>
      </c>
      <c r="AA73" s="10" t="s">
        <v>27</v>
      </c>
      <c r="AB73" s="10">
        <v>1</v>
      </c>
      <c r="AC73" s="20">
        <f t="shared" si="14"/>
        <v>0.13043478260869565</v>
      </c>
      <c r="AD73" s="10" t="s">
        <v>43</v>
      </c>
      <c r="AE73" s="10" t="s">
        <v>211</v>
      </c>
      <c r="AF73" s="10" t="s">
        <v>95</v>
      </c>
      <c r="AG73" s="10">
        <v>3.5</v>
      </c>
      <c r="AH73" s="10">
        <v>0</v>
      </c>
      <c r="AI73" s="13">
        <f t="shared" si="15"/>
        <v>1.6666666666666667</v>
      </c>
      <c r="AJ73" s="13">
        <f t="shared" si="16"/>
        <v>38.333333333333336</v>
      </c>
      <c r="AK73" s="10">
        <v>1</v>
      </c>
      <c r="AL73" s="10">
        <v>623</v>
      </c>
      <c r="AM73" s="19">
        <v>0.222</v>
      </c>
      <c r="AN73" s="19">
        <v>0.71799999999999997</v>
      </c>
      <c r="AO73" s="19"/>
      <c r="AP73" s="19"/>
      <c r="AQ73" s="19">
        <f>Table1[[#This Row],[X_Ac]]*Table1[[#This Row],[S_Acryl_Ac]]</f>
        <v>0.15939599999999998</v>
      </c>
      <c r="AR73" s="19">
        <f t="shared" si="17"/>
        <v>0.55788599999999988</v>
      </c>
      <c r="AS73" s="28">
        <f t="shared" si="13"/>
        <v>4.6407550374687752</v>
      </c>
      <c r="AT73" s="29"/>
      <c r="AU73" s="10" t="s">
        <v>101</v>
      </c>
      <c r="AV73" s="17" t="s">
        <v>328</v>
      </c>
      <c r="AW73" s="10" t="s">
        <v>103</v>
      </c>
      <c r="AX73" s="10">
        <v>2018</v>
      </c>
      <c r="AY73" s="10">
        <f t="shared" si="18"/>
        <v>0.60000000000000009</v>
      </c>
      <c r="AZ73" s="10"/>
      <c r="BA73" s="20">
        <v>8.3184647714206431E-2</v>
      </c>
      <c r="BB73" s="20">
        <v>0.29114626699972246</v>
      </c>
      <c r="BC73" s="20">
        <f>BA73*60*AR73/AY73</f>
        <v>4.6407550374687752</v>
      </c>
      <c r="BD73" s="20">
        <f>BB73*60*AQ73/AY73</f>
        <v>4.6407550374687752</v>
      </c>
    </row>
    <row r="74" spans="1:56" s="18" customFormat="1">
      <c r="A74" s="10">
        <v>73</v>
      </c>
      <c r="B74" s="13">
        <v>0</v>
      </c>
      <c r="C74" s="10"/>
      <c r="D74" s="10"/>
      <c r="E74" s="27"/>
      <c r="F74" s="10"/>
      <c r="G74" s="10"/>
      <c r="H74" s="27"/>
      <c r="I74" s="10" t="s">
        <v>205</v>
      </c>
      <c r="J74" s="10">
        <v>1</v>
      </c>
      <c r="K74" s="10"/>
      <c r="L74" s="10"/>
      <c r="M74" s="10" t="s">
        <v>7</v>
      </c>
      <c r="N74" s="10">
        <v>1.4</v>
      </c>
      <c r="O74" s="10"/>
      <c r="P74" s="10"/>
      <c r="Q74" s="10" t="s">
        <v>104</v>
      </c>
      <c r="R74" s="10">
        <v>0.1</v>
      </c>
      <c r="S74" s="10"/>
      <c r="T74" s="10"/>
      <c r="U74" s="10"/>
      <c r="V74" s="10"/>
      <c r="W74" s="10"/>
      <c r="X74" s="10"/>
      <c r="Y74" s="50">
        <v>10.7</v>
      </c>
      <c r="Z74" s="50">
        <v>19.5</v>
      </c>
      <c r="AA74" s="10" t="s">
        <v>27</v>
      </c>
      <c r="AB74" s="10">
        <v>1</v>
      </c>
      <c r="AC74" s="20">
        <f t="shared" si="14"/>
        <v>0.13043478260869565</v>
      </c>
      <c r="AD74" s="10" t="s">
        <v>43</v>
      </c>
      <c r="AE74" s="10" t="s">
        <v>211</v>
      </c>
      <c r="AF74" s="10" t="s">
        <v>95</v>
      </c>
      <c r="AG74" s="10">
        <v>3.5</v>
      </c>
      <c r="AH74" s="10">
        <v>0</v>
      </c>
      <c r="AI74" s="13">
        <f t="shared" si="15"/>
        <v>1.6666666666666667</v>
      </c>
      <c r="AJ74" s="13">
        <f t="shared" si="16"/>
        <v>38.333333333333336</v>
      </c>
      <c r="AK74" s="10">
        <v>1</v>
      </c>
      <c r="AL74" s="10">
        <v>623</v>
      </c>
      <c r="AM74" s="19">
        <v>0.20100000000000001</v>
      </c>
      <c r="AN74" s="19">
        <v>0.56399999999999995</v>
      </c>
      <c r="AO74" s="19"/>
      <c r="AP74" s="19"/>
      <c r="AQ74" s="19">
        <f>Table1[[#This Row],[X_Ac]]*Table1[[#This Row],[S_Acryl_Ac]]</f>
        <v>0.11336399999999999</v>
      </c>
      <c r="AR74" s="19">
        <f t="shared" si="17"/>
        <v>0.39677399999999996</v>
      </c>
      <c r="AS74" s="28">
        <f t="shared" si="13"/>
        <v>3.3005505412156531</v>
      </c>
      <c r="AT74" s="29"/>
      <c r="AU74" s="10" t="s">
        <v>101</v>
      </c>
      <c r="AV74" s="17" t="s">
        <v>328</v>
      </c>
      <c r="AW74" s="10" t="s">
        <v>103</v>
      </c>
      <c r="AX74" s="10">
        <v>2018</v>
      </c>
      <c r="AY74" s="10">
        <f t="shared" si="18"/>
        <v>0.60000000000000009</v>
      </c>
      <c r="AZ74" s="10"/>
      <c r="BA74" s="20">
        <v>8.3184647714206431E-2</v>
      </c>
      <c r="BB74" s="20">
        <v>0.29114626699972246</v>
      </c>
      <c r="BC74" s="20">
        <f>BA74*60*AR74/AY74</f>
        <v>3.3005505412156535</v>
      </c>
      <c r="BD74" s="20">
        <f>BB74*60*AQ74/AY74</f>
        <v>3.3005505412156531</v>
      </c>
    </row>
    <row r="75" spans="1:56" s="18" customFormat="1">
      <c r="A75" s="10">
        <v>74</v>
      </c>
      <c r="B75" s="13">
        <v>0</v>
      </c>
      <c r="C75" s="10"/>
      <c r="D75" s="10"/>
      <c r="E75" s="27"/>
      <c r="F75" s="10"/>
      <c r="G75" s="10"/>
      <c r="H75" s="27"/>
      <c r="I75" s="10" t="s">
        <v>205</v>
      </c>
      <c r="J75" s="10">
        <v>1</v>
      </c>
      <c r="K75" s="10"/>
      <c r="L75" s="10"/>
      <c r="M75" s="10" t="s">
        <v>7</v>
      </c>
      <c r="N75" s="10">
        <v>1.4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50">
        <v>21.61</v>
      </c>
      <c r="Z75" s="10"/>
      <c r="AA75" s="10" t="s">
        <v>27</v>
      </c>
      <c r="AB75" s="10">
        <v>1</v>
      </c>
      <c r="AC75" s="20">
        <f t="shared" si="14"/>
        <v>0.13043478260869565</v>
      </c>
      <c r="AD75" s="11" t="s">
        <v>43</v>
      </c>
      <c r="AE75" s="11" t="s">
        <v>211</v>
      </c>
      <c r="AF75" s="11" t="s">
        <v>95</v>
      </c>
      <c r="AG75" s="10">
        <v>3.5</v>
      </c>
      <c r="AH75" s="10">
        <v>0</v>
      </c>
      <c r="AI75" s="13">
        <f t="shared" si="15"/>
        <v>1.6666666666666667</v>
      </c>
      <c r="AJ75" s="13">
        <f t="shared" si="16"/>
        <v>38.333333333333336</v>
      </c>
      <c r="AK75" s="10">
        <v>1</v>
      </c>
      <c r="AL75" s="10">
        <v>623</v>
      </c>
      <c r="AM75" s="19">
        <v>0.27500000000000002</v>
      </c>
      <c r="AN75" s="19">
        <v>0.63900000000000001</v>
      </c>
      <c r="AO75" s="19"/>
      <c r="AP75" s="19"/>
      <c r="AQ75" s="19">
        <v>0.17599999999999999</v>
      </c>
      <c r="AR75" s="19">
        <f t="shared" si="17"/>
        <v>0.61599999999999999</v>
      </c>
      <c r="AS75" s="28">
        <f t="shared" si="13"/>
        <v>5.1241742991951149</v>
      </c>
      <c r="AT75" s="29"/>
      <c r="AU75" s="10" t="s">
        <v>107</v>
      </c>
      <c r="AV75" s="19" t="s">
        <v>105</v>
      </c>
      <c r="AW75" s="10" t="s">
        <v>103</v>
      </c>
      <c r="AX75" s="10">
        <v>2019</v>
      </c>
      <c r="AY75" s="10">
        <f t="shared" si="18"/>
        <v>0.60000000000000009</v>
      </c>
      <c r="AZ75" s="10"/>
      <c r="BA75" s="20">
        <v>8.3184647714206431E-2</v>
      </c>
      <c r="BB75" s="20">
        <v>0.29114626699972246</v>
      </c>
      <c r="BC75" s="20">
        <f>BA75*60*AR75/AY75</f>
        <v>5.1241742991951149</v>
      </c>
      <c r="BD75" s="20">
        <f>BB75*60*AQ75/AY75</f>
        <v>5.124174299195114</v>
      </c>
    </row>
    <row r="76" spans="1:56" s="18" customFormat="1">
      <c r="A76" s="10">
        <v>75</v>
      </c>
      <c r="B76" s="13">
        <v>0</v>
      </c>
      <c r="C76" s="10"/>
      <c r="D76" s="10"/>
      <c r="E76" s="27"/>
      <c r="F76" s="10"/>
      <c r="G76" s="10"/>
      <c r="H76" s="27"/>
      <c r="I76" s="10" t="s">
        <v>205</v>
      </c>
      <c r="J76" s="10">
        <v>1</v>
      </c>
      <c r="K76" s="10"/>
      <c r="L76" s="10"/>
      <c r="M76" s="10" t="s">
        <v>7</v>
      </c>
      <c r="N76" s="10">
        <v>1.4</v>
      </c>
      <c r="O76" s="10"/>
      <c r="P76" s="10"/>
      <c r="Q76" s="10" t="s">
        <v>108</v>
      </c>
      <c r="R76" s="10">
        <v>0.06</v>
      </c>
      <c r="S76" s="10"/>
      <c r="T76" s="10"/>
      <c r="U76" s="10"/>
      <c r="V76" s="10"/>
      <c r="W76" s="10"/>
      <c r="X76" s="10"/>
      <c r="Y76" s="50"/>
      <c r="Z76" s="10">
        <v>21.61</v>
      </c>
      <c r="AA76" s="10" t="s">
        <v>27</v>
      </c>
      <c r="AB76" s="10">
        <v>1</v>
      </c>
      <c r="AC76" s="20">
        <f t="shared" si="14"/>
        <v>0.13043478260869565</v>
      </c>
      <c r="AD76" s="10" t="s">
        <v>43</v>
      </c>
      <c r="AE76" s="10" t="s">
        <v>211</v>
      </c>
      <c r="AF76" s="10" t="s">
        <v>95</v>
      </c>
      <c r="AG76" s="10">
        <v>3.5</v>
      </c>
      <c r="AH76" s="10">
        <v>0</v>
      </c>
      <c r="AI76" s="13">
        <f t="shared" si="15"/>
        <v>1.6666666666666667</v>
      </c>
      <c r="AJ76" s="13">
        <f t="shared" si="16"/>
        <v>38.333333333333336</v>
      </c>
      <c r="AK76" s="10">
        <v>1</v>
      </c>
      <c r="AL76" s="10">
        <v>623</v>
      </c>
      <c r="AM76" s="19">
        <v>0.29799999999999999</v>
      </c>
      <c r="AN76" s="19">
        <v>0.49099999999999999</v>
      </c>
      <c r="AO76" s="19"/>
      <c r="AP76" s="19"/>
      <c r="AQ76" s="19">
        <v>0.14199999999999999</v>
      </c>
      <c r="AR76" s="19">
        <f t="shared" si="17"/>
        <v>0.49699999999999994</v>
      </c>
      <c r="AS76" s="28">
        <f t="shared" si="13"/>
        <v>4.1342769913960584</v>
      </c>
      <c r="AT76" s="29"/>
      <c r="AU76" s="10" t="s">
        <v>107</v>
      </c>
      <c r="AV76" s="17" t="s">
        <v>328</v>
      </c>
      <c r="AW76" s="10" t="s">
        <v>103</v>
      </c>
      <c r="AX76" s="10">
        <v>2019</v>
      </c>
      <c r="AY76" s="10">
        <f t="shared" si="18"/>
        <v>0.60000000000000009</v>
      </c>
      <c r="AZ76" s="10"/>
      <c r="BA76" s="20">
        <v>8.3184647714206431E-2</v>
      </c>
      <c r="BB76" s="20">
        <v>0.29114626699972246</v>
      </c>
      <c r="BC76" s="20">
        <f>BA76*60*AR76/AY76</f>
        <v>4.1342769913960584</v>
      </c>
      <c r="BD76" s="20">
        <f>BB76*60*AQ76/AY76</f>
        <v>4.1342769913960584</v>
      </c>
    </row>
    <row r="77" spans="1:56" s="18" customFormat="1">
      <c r="A77" s="10">
        <v>76</v>
      </c>
      <c r="B77" s="13">
        <v>0</v>
      </c>
      <c r="C77" s="10"/>
      <c r="D77" s="10"/>
      <c r="E77" s="27"/>
      <c r="F77" s="10"/>
      <c r="G77" s="10"/>
      <c r="H77" s="27"/>
      <c r="I77" s="10" t="s">
        <v>205</v>
      </c>
      <c r="J77" s="10">
        <v>1</v>
      </c>
      <c r="K77" s="10"/>
      <c r="L77" s="10"/>
      <c r="M77" s="10" t="s">
        <v>7</v>
      </c>
      <c r="N77" s="10">
        <v>1.4</v>
      </c>
      <c r="O77" s="10"/>
      <c r="P77" s="10"/>
      <c r="Q77" s="10" t="s">
        <v>9</v>
      </c>
      <c r="R77" s="10">
        <v>0.06</v>
      </c>
      <c r="S77" s="10"/>
      <c r="T77" s="10"/>
      <c r="U77" s="10"/>
      <c r="V77" s="10"/>
      <c r="W77" s="10"/>
      <c r="X77" s="10"/>
      <c r="Y77" s="50"/>
      <c r="Z77" s="10">
        <v>21.61</v>
      </c>
      <c r="AA77" s="10" t="s">
        <v>27</v>
      </c>
      <c r="AB77" s="10">
        <v>1</v>
      </c>
      <c r="AC77" s="20">
        <f t="shared" si="14"/>
        <v>0.13043478260869565</v>
      </c>
      <c r="AD77" s="11" t="s">
        <v>43</v>
      </c>
      <c r="AE77" s="11" t="s">
        <v>211</v>
      </c>
      <c r="AF77" s="11" t="s">
        <v>95</v>
      </c>
      <c r="AG77" s="10">
        <v>3.5</v>
      </c>
      <c r="AH77" s="10">
        <v>0</v>
      </c>
      <c r="AI77" s="13">
        <f t="shared" si="15"/>
        <v>1.6666666666666667</v>
      </c>
      <c r="AJ77" s="13">
        <f t="shared" si="16"/>
        <v>38.333333333333336</v>
      </c>
      <c r="AK77" s="10">
        <v>1</v>
      </c>
      <c r="AL77" s="10">
        <v>623</v>
      </c>
      <c r="AM77" s="19">
        <v>0.27</v>
      </c>
      <c r="AN77" s="19">
        <v>0.72899999999999998</v>
      </c>
      <c r="AO77" s="19"/>
      <c r="AP77" s="19"/>
      <c r="AQ77" s="19">
        <v>0.19700000000000001</v>
      </c>
      <c r="AR77" s="19">
        <f t="shared" si="17"/>
        <v>0.6895</v>
      </c>
      <c r="AS77" s="28">
        <f t="shared" si="13"/>
        <v>5.7355814598945329</v>
      </c>
      <c r="AT77" s="29"/>
      <c r="AU77" s="10" t="s">
        <v>107</v>
      </c>
      <c r="AV77" s="19"/>
      <c r="AW77" s="10" t="s">
        <v>103</v>
      </c>
      <c r="AX77" s="10">
        <v>2019</v>
      </c>
      <c r="AY77" s="10">
        <f t="shared" si="18"/>
        <v>0.60000000000000009</v>
      </c>
      <c r="AZ77" s="10"/>
      <c r="BA77" s="20">
        <v>8.3184647714206431E-2</v>
      </c>
      <c r="BB77" s="20">
        <v>0.29114626699972246</v>
      </c>
      <c r="BC77" s="20">
        <f>BA77*60*AR77/AY77</f>
        <v>5.7355814598945329</v>
      </c>
      <c r="BD77" s="20">
        <f>BB77*60*AQ77/AY77</f>
        <v>5.7355814598945321</v>
      </c>
    </row>
    <row r="78" spans="1:56" s="18" customFormat="1">
      <c r="A78" s="10">
        <v>77</v>
      </c>
      <c r="B78" s="13">
        <v>0</v>
      </c>
      <c r="C78" s="10"/>
      <c r="D78" s="10"/>
      <c r="E78" s="27"/>
      <c r="F78" s="10"/>
      <c r="G78" s="10"/>
      <c r="H78" s="27"/>
      <c r="I78" s="10" t="s">
        <v>205</v>
      </c>
      <c r="J78" s="10">
        <v>1</v>
      </c>
      <c r="K78" s="10"/>
      <c r="L78" s="10"/>
      <c r="M78" s="10" t="s">
        <v>7</v>
      </c>
      <c r="N78" s="10">
        <v>1.4</v>
      </c>
      <c r="O78" s="10"/>
      <c r="P78" s="10"/>
      <c r="Q78" s="10" t="s">
        <v>109</v>
      </c>
      <c r="R78" s="10">
        <v>0.06</v>
      </c>
      <c r="S78" s="10"/>
      <c r="T78" s="10"/>
      <c r="U78" s="10"/>
      <c r="V78" s="10"/>
      <c r="W78" s="10"/>
      <c r="X78" s="10"/>
      <c r="Y78" s="50"/>
      <c r="Z78" s="10">
        <v>21.61</v>
      </c>
      <c r="AA78" s="10" t="s">
        <v>27</v>
      </c>
      <c r="AB78" s="10">
        <v>1</v>
      </c>
      <c r="AC78" s="20">
        <f t="shared" si="14"/>
        <v>0.13043478260869565</v>
      </c>
      <c r="AD78" s="10" t="s">
        <v>43</v>
      </c>
      <c r="AE78" s="10" t="s">
        <v>211</v>
      </c>
      <c r="AF78" s="10" t="s">
        <v>95</v>
      </c>
      <c r="AG78" s="10">
        <v>3.5</v>
      </c>
      <c r="AH78" s="10">
        <v>0</v>
      </c>
      <c r="AI78" s="13">
        <f t="shared" si="15"/>
        <v>1.6666666666666667</v>
      </c>
      <c r="AJ78" s="13">
        <f t="shared" si="16"/>
        <v>38.333333333333336</v>
      </c>
      <c r="AK78" s="10">
        <v>1</v>
      </c>
      <c r="AL78" s="10">
        <v>623</v>
      </c>
      <c r="AM78" s="19">
        <v>0.126</v>
      </c>
      <c r="AN78" s="19">
        <v>0.57499999999999996</v>
      </c>
      <c r="AO78" s="19"/>
      <c r="AP78" s="19"/>
      <c r="AQ78" s="19">
        <v>7.1999999999999995E-2</v>
      </c>
      <c r="AR78" s="19">
        <f t="shared" si="17"/>
        <v>0.252</v>
      </c>
      <c r="AS78" s="28">
        <f t="shared" si="13"/>
        <v>2.0962531223980014</v>
      </c>
      <c r="AT78" s="29"/>
      <c r="AU78" s="10" t="s">
        <v>107</v>
      </c>
      <c r="AV78" s="19"/>
      <c r="AW78" s="10" t="s">
        <v>103</v>
      </c>
      <c r="AX78" s="10">
        <v>2019</v>
      </c>
      <c r="AY78" s="10">
        <f t="shared" si="18"/>
        <v>0.60000000000000009</v>
      </c>
      <c r="AZ78" s="10"/>
      <c r="BA78" s="20">
        <v>8.3184647714206431E-2</v>
      </c>
      <c r="BB78" s="20">
        <v>0.29114626699972246</v>
      </c>
      <c r="BC78" s="20">
        <f>BA78*60*AR78/AY78</f>
        <v>2.0962531223980019</v>
      </c>
      <c r="BD78" s="20">
        <f>BB78*60*AQ78/AY78</f>
        <v>2.096253122398001</v>
      </c>
    </row>
    <row r="79" spans="1:56" s="18" customFormat="1">
      <c r="A79" s="10">
        <v>78</v>
      </c>
      <c r="B79" s="13">
        <v>0</v>
      </c>
      <c r="C79" s="10"/>
      <c r="D79" s="10"/>
      <c r="E79" s="27"/>
      <c r="F79" s="10"/>
      <c r="G79" s="10"/>
      <c r="H79" s="27"/>
      <c r="I79" s="10" t="s">
        <v>205</v>
      </c>
      <c r="J79" s="10">
        <v>1</v>
      </c>
      <c r="K79" s="10"/>
      <c r="L79" s="10"/>
      <c r="M79" s="10" t="s">
        <v>7</v>
      </c>
      <c r="N79" s="10">
        <v>1.4</v>
      </c>
      <c r="O79" s="10"/>
      <c r="P79" s="10"/>
      <c r="Q79" s="10" t="s">
        <v>110</v>
      </c>
      <c r="R79" s="10">
        <v>0.06</v>
      </c>
      <c r="S79" s="10"/>
      <c r="T79" s="10"/>
      <c r="U79" s="10"/>
      <c r="V79" s="10"/>
      <c r="W79" s="10"/>
      <c r="X79" s="10"/>
      <c r="Y79" s="50">
        <v>10.79</v>
      </c>
      <c r="Z79" s="10">
        <v>21.61</v>
      </c>
      <c r="AA79" s="10" t="s">
        <v>27</v>
      </c>
      <c r="AB79" s="10">
        <v>1</v>
      </c>
      <c r="AC79" s="20">
        <f t="shared" si="14"/>
        <v>0.13043478260869565</v>
      </c>
      <c r="AD79" s="11" t="s">
        <v>43</v>
      </c>
      <c r="AE79" s="11" t="s">
        <v>211</v>
      </c>
      <c r="AF79" s="10" t="s">
        <v>95</v>
      </c>
      <c r="AG79" s="10">
        <v>3.5</v>
      </c>
      <c r="AH79" s="10">
        <v>0</v>
      </c>
      <c r="AI79" s="13">
        <f t="shared" si="15"/>
        <v>1.6666666666666667</v>
      </c>
      <c r="AJ79" s="13">
        <f t="shared" si="16"/>
        <v>38.333333333333336</v>
      </c>
      <c r="AK79" s="10">
        <v>1</v>
      </c>
      <c r="AL79" s="10">
        <v>623</v>
      </c>
      <c r="AM79" s="19">
        <v>0.224</v>
      </c>
      <c r="AN79" s="19">
        <v>0.76600000000000001</v>
      </c>
      <c r="AO79" s="19"/>
      <c r="AP79" s="19"/>
      <c r="AQ79" s="19">
        <v>0.17199999999999999</v>
      </c>
      <c r="AR79" s="19">
        <f t="shared" si="17"/>
        <v>0.60199999999999998</v>
      </c>
      <c r="AS79" s="28">
        <f t="shared" si="13"/>
        <v>5.007715792395226</v>
      </c>
      <c r="AT79" s="29"/>
      <c r="AU79" s="10" t="s">
        <v>107</v>
      </c>
      <c r="AV79" s="19"/>
      <c r="AW79" s="10" t="s">
        <v>103</v>
      </c>
      <c r="AX79" s="10">
        <v>2019</v>
      </c>
      <c r="AY79" s="10">
        <f t="shared" si="18"/>
        <v>0.60000000000000009</v>
      </c>
      <c r="AZ79" s="10"/>
      <c r="BA79" s="20">
        <v>8.3184647714206431E-2</v>
      </c>
      <c r="BB79" s="20">
        <v>0.29114626699972246</v>
      </c>
      <c r="BC79" s="20">
        <f>BA79*60*AR79/AY79</f>
        <v>5.007715792395226</v>
      </c>
      <c r="BD79" s="20">
        <f>BB79*60*AQ79/AY79</f>
        <v>5.007715792395226</v>
      </c>
    </row>
    <row r="80" spans="1:56" s="18" customFormat="1">
      <c r="A80" s="10">
        <v>79</v>
      </c>
      <c r="B80" s="13">
        <v>0</v>
      </c>
      <c r="C80" s="10"/>
      <c r="D80" s="10"/>
      <c r="E80" s="27"/>
      <c r="F80" s="10"/>
      <c r="G80" s="10"/>
      <c r="H80" s="27"/>
      <c r="I80" s="10" t="s">
        <v>205</v>
      </c>
      <c r="J80" s="10">
        <v>1</v>
      </c>
      <c r="K80" s="10"/>
      <c r="L80" s="10"/>
      <c r="M80" s="10" t="s">
        <v>7</v>
      </c>
      <c r="N80" s="10">
        <v>1.4</v>
      </c>
      <c r="O80" s="10"/>
      <c r="P80" s="10"/>
      <c r="Q80" s="10" t="s">
        <v>30</v>
      </c>
      <c r="R80" s="10">
        <v>0.06</v>
      </c>
      <c r="S80" s="10"/>
      <c r="T80" s="10"/>
      <c r="U80" s="10"/>
      <c r="V80" s="10"/>
      <c r="W80" s="10"/>
      <c r="X80" s="10"/>
      <c r="Y80" s="50"/>
      <c r="Z80" s="10">
        <v>21.61</v>
      </c>
      <c r="AA80" s="10" t="s">
        <v>27</v>
      </c>
      <c r="AB80" s="10">
        <v>1</v>
      </c>
      <c r="AC80" s="20">
        <f t="shared" si="14"/>
        <v>0.13043478260869565</v>
      </c>
      <c r="AD80" s="10" t="s">
        <v>43</v>
      </c>
      <c r="AE80" s="10" t="s">
        <v>211</v>
      </c>
      <c r="AF80" s="10" t="s">
        <v>95</v>
      </c>
      <c r="AG80" s="10">
        <v>3.5</v>
      </c>
      <c r="AH80" s="10">
        <v>0</v>
      </c>
      <c r="AI80" s="13">
        <f t="shared" si="15"/>
        <v>1.6666666666666667</v>
      </c>
      <c r="AJ80" s="13">
        <f t="shared" si="16"/>
        <v>38.333333333333336</v>
      </c>
      <c r="AK80" s="10">
        <v>1</v>
      </c>
      <c r="AL80" s="10">
        <v>623</v>
      </c>
      <c r="AM80" s="19">
        <v>0.28899999999999998</v>
      </c>
      <c r="AN80" s="19">
        <v>0.70499999999999996</v>
      </c>
      <c r="AO80" s="19"/>
      <c r="AP80" s="19"/>
      <c r="AQ80" s="19">
        <v>0.20399999999999999</v>
      </c>
      <c r="AR80" s="19">
        <f t="shared" si="17"/>
        <v>0.71399999999999997</v>
      </c>
      <c r="AS80" s="28">
        <f t="shared" si="13"/>
        <v>5.9393838467943372</v>
      </c>
      <c r="AT80" s="29"/>
      <c r="AU80" s="10" t="s">
        <v>107</v>
      </c>
      <c r="AV80" s="19"/>
      <c r="AW80" s="10" t="s">
        <v>103</v>
      </c>
      <c r="AX80" s="10">
        <v>2019</v>
      </c>
      <c r="AY80" s="10">
        <f t="shared" si="18"/>
        <v>0.60000000000000009</v>
      </c>
      <c r="AZ80" s="10"/>
      <c r="BA80" s="20">
        <v>8.3184647714206431E-2</v>
      </c>
      <c r="BB80" s="20">
        <v>0.29114626699972246</v>
      </c>
      <c r="BC80" s="20">
        <f>BA80*60*AR80/AY80</f>
        <v>5.9393838467943381</v>
      </c>
      <c r="BD80" s="20">
        <f>BB80*60*AQ80/AY80</f>
        <v>5.9393838467943372</v>
      </c>
    </row>
    <row r="81" spans="1:56" s="18" customFormat="1" ht="15.6" customHeight="1">
      <c r="A81" s="10">
        <v>80</v>
      </c>
      <c r="B81" s="13"/>
      <c r="C81" s="11" t="s">
        <v>10</v>
      </c>
      <c r="D81" s="11"/>
      <c r="E81" s="27">
        <v>1</v>
      </c>
      <c r="F81" s="11"/>
      <c r="G81" s="11"/>
      <c r="H81" s="27"/>
      <c r="I81" s="10" t="s">
        <v>205</v>
      </c>
      <c r="J81" s="11"/>
      <c r="K81" s="11">
        <v>0.02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51">
        <v>362.7</v>
      </c>
      <c r="Z81" s="11"/>
      <c r="AA81" s="11" t="s">
        <v>69</v>
      </c>
      <c r="AB81" s="10">
        <v>0</v>
      </c>
      <c r="AC81" s="40">
        <v>0</v>
      </c>
      <c r="AD81" s="11" t="s">
        <v>43</v>
      </c>
      <c r="AE81" s="11" t="s">
        <v>210</v>
      </c>
      <c r="AF81" s="11" t="s">
        <v>95</v>
      </c>
      <c r="AG81" s="11">
        <v>10</v>
      </c>
      <c r="AH81" s="11">
        <v>0</v>
      </c>
      <c r="AI81" s="27">
        <f>0.1*60/3</f>
        <v>2</v>
      </c>
      <c r="AJ81" s="13"/>
      <c r="AK81" s="11">
        <v>1</v>
      </c>
      <c r="AL81" s="11">
        <v>643</v>
      </c>
      <c r="AM81" s="14"/>
      <c r="AN81" s="14"/>
      <c r="AO81" s="14">
        <f>Table1[[#This Row],[Y_Acryl_Fa]]/Table1[[#This Row],[S_Acryl_Fa]]</f>
        <v>0.17152988855116516</v>
      </c>
      <c r="AP81" s="14">
        <v>0.98699999999999999</v>
      </c>
      <c r="AQ81" s="14">
        <f>Table1[[#This Row],[Y_Acryl_Fa]]/Table1[[#This Row],[Ratio_Ac_Fa]]</f>
        <v>1.6930000000000001E-2</v>
      </c>
      <c r="AR81" s="14">
        <v>0.16930000000000001</v>
      </c>
      <c r="AS81" s="28">
        <f t="shared" si="13"/>
        <v>0.52341076650982332</v>
      </c>
      <c r="AT81" s="16"/>
      <c r="AU81" s="11" t="s">
        <v>77</v>
      </c>
      <c r="AV81" s="19"/>
      <c r="AW81" s="10" t="s">
        <v>111</v>
      </c>
      <c r="AX81" s="10">
        <v>2015</v>
      </c>
      <c r="AY81" s="10">
        <v>3</v>
      </c>
      <c r="AZ81" s="10"/>
      <c r="BA81" s="20">
        <v>0.15458085248370448</v>
      </c>
      <c r="BB81" s="20">
        <v>1.545808524837045</v>
      </c>
      <c r="BC81" s="20">
        <f>BA81*60*AR81/AY81</f>
        <v>0.52341076650982332</v>
      </c>
      <c r="BD81" s="20">
        <f>BB81*60*AQ81/AY81</f>
        <v>0.52341076650982343</v>
      </c>
    </row>
    <row r="82" spans="1:56" s="18" customFormat="1" ht="15.6" customHeight="1">
      <c r="A82" s="10">
        <v>81</v>
      </c>
      <c r="B82" s="13"/>
      <c r="C82" s="11" t="s">
        <v>10</v>
      </c>
      <c r="D82" s="11"/>
      <c r="E82" s="27">
        <v>1</v>
      </c>
      <c r="F82" s="11"/>
      <c r="G82" s="11"/>
      <c r="H82" s="27"/>
      <c r="I82" s="10" t="s">
        <v>205</v>
      </c>
      <c r="J82" s="11"/>
      <c r="K82" s="11">
        <v>0.02</v>
      </c>
      <c r="L82" s="11"/>
      <c r="M82" s="11" t="s">
        <v>7</v>
      </c>
      <c r="N82" s="11"/>
      <c r="O82" s="11">
        <v>0.04</v>
      </c>
      <c r="P82" s="11"/>
      <c r="Q82" s="11"/>
      <c r="R82" s="11"/>
      <c r="S82" s="11"/>
      <c r="T82" s="11"/>
      <c r="U82" s="11"/>
      <c r="V82" s="11"/>
      <c r="W82" s="11"/>
      <c r="X82" s="11"/>
      <c r="Y82" s="51">
        <v>282.2</v>
      </c>
      <c r="Z82" s="11"/>
      <c r="AA82" s="11" t="s">
        <v>69</v>
      </c>
      <c r="AB82" s="10">
        <v>0</v>
      </c>
      <c r="AC82" s="40">
        <v>0</v>
      </c>
      <c r="AD82" s="11" t="s">
        <v>43</v>
      </c>
      <c r="AE82" s="11" t="s">
        <v>210</v>
      </c>
      <c r="AF82" s="11" t="s">
        <v>95</v>
      </c>
      <c r="AG82" s="11">
        <v>10</v>
      </c>
      <c r="AH82" s="11">
        <v>0</v>
      </c>
      <c r="AI82" s="27">
        <f>0.1*60/3</f>
        <v>2</v>
      </c>
      <c r="AJ82" s="13"/>
      <c r="AK82" s="11">
        <v>1</v>
      </c>
      <c r="AL82" s="11">
        <v>643</v>
      </c>
      <c r="AM82" s="14"/>
      <c r="AN82" s="14"/>
      <c r="AO82" s="14">
        <f>Table1[[#This Row],[Y_Acryl_Fa]]/Table1[[#This Row],[S_Acryl_Fa]]</f>
        <v>0.22392638036809817</v>
      </c>
      <c r="AP82" s="14">
        <v>0.97799999999999998</v>
      </c>
      <c r="AQ82" s="14">
        <f>Table1[[#This Row],[Y_Acryl_Fa]]/Table1[[#This Row],[Ratio_Ac_Fa]]</f>
        <v>2.1899999999999999E-2</v>
      </c>
      <c r="AR82" s="14">
        <v>0.219</v>
      </c>
      <c r="AS82" s="28">
        <f t="shared" si="13"/>
        <v>0.67706413387862563</v>
      </c>
      <c r="AT82" s="16">
        <v>1</v>
      </c>
      <c r="AU82" s="11" t="s">
        <v>77</v>
      </c>
      <c r="AV82" s="19" t="s">
        <v>70</v>
      </c>
      <c r="AW82" s="10" t="s">
        <v>111</v>
      </c>
      <c r="AX82" s="10">
        <v>2015</v>
      </c>
      <c r="AY82" s="10">
        <v>3</v>
      </c>
      <c r="AZ82" s="10"/>
      <c r="BA82" s="20">
        <v>0.15458085248370448</v>
      </c>
      <c r="BB82" s="20">
        <v>1.545808524837045</v>
      </c>
      <c r="BC82" s="20">
        <f>BA82*60*AR82/AY82</f>
        <v>0.67706413387862563</v>
      </c>
      <c r="BD82" s="20">
        <f>BB82*60*AQ82/AY82</f>
        <v>0.67706413387862563</v>
      </c>
    </row>
    <row r="83" spans="1:56" s="18" customFormat="1" ht="15.6" customHeight="1">
      <c r="A83" s="10">
        <v>82</v>
      </c>
      <c r="B83" s="13"/>
      <c r="C83" s="11" t="s">
        <v>10</v>
      </c>
      <c r="D83" s="11"/>
      <c r="E83" s="27">
        <v>1</v>
      </c>
      <c r="F83" s="11"/>
      <c r="G83" s="11"/>
      <c r="H83" s="27"/>
      <c r="I83" s="11" t="s">
        <v>205</v>
      </c>
      <c r="J83" s="11"/>
      <c r="K83" s="11">
        <v>0.02</v>
      </c>
      <c r="L83" s="11"/>
      <c r="M83" s="11" t="s">
        <v>7</v>
      </c>
      <c r="N83" s="11"/>
      <c r="O83" s="11">
        <v>0.04</v>
      </c>
      <c r="P83" s="11"/>
      <c r="Q83" s="11"/>
      <c r="R83" s="11"/>
      <c r="S83" s="11"/>
      <c r="T83" s="11"/>
      <c r="U83" s="10"/>
      <c r="V83" s="10"/>
      <c r="W83" s="10"/>
      <c r="X83" s="10"/>
      <c r="Y83" s="50">
        <v>321</v>
      </c>
      <c r="Z83" s="10"/>
      <c r="AA83" s="10" t="s">
        <v>69</v>
      </c>
      <c r="AB83" s="10">
        <v>0</v>
      </c>
      <c r="AC83" s="20">
        <v>0</v>
      </c>
      <c r="AD83" s="10" t="s">
        <v>43</v>
      </c>
      <c r="AE83" s="10" t="s">
        <v>210</v>
      </c>
      <c r="AF83" s="10" t="s">
        <v>95</v>
      </c>
      <c r="AG83" s="10">
        <v>10</v>
      </c>
      <c r="AH83" s="10">
        <v>0</v>
      </c>
      <c r="AI83" s="27">
        <f>0.1*60/3</f>
        <v>2</v>
      </c>
      <c r="AJ83" s="27"/>
      <c r="AK83" s="10">
        <v>1</v>
      </c>
      <c r="AL83" s="10">
        <v>643</v>
      </c>
      <c r="AM83" s="19"/>
      <c r="AN83" s="19"/>
      <c r="AO83" s="19">
        <f>Table1[[#This Row],[Y_Acryl_Fa]]/Table1[[#This Row],[S_Acryl_Fa]]</f>
        <v>0.22346938775510206</v>
      </c>
      <c r="AP83" s="19">
        <v>0.98</v>
      </c>
      <c r="AQ83" s="19">
        <f>Table1[[#This Row],[Y_Acryl_Fa]]/Table1[[#This Row],[Ratio_Ac_Fa]]</f>
        <v>2.1899999999999999E-2</v>
      </c>
      <c r="AR83" s="19">
        <v>0.219</v>
      </c>
      <c r="AS83" s="28">
        <f t="shared" si="13"/>
        <v>0.67706413387862563</v>
      </c>
      <c r="AT83" s="29">
        <v>1</v>
      </c>
      <c r="AU83" s="10" t="s">
        <v>73</v>
      </c>
      <c r="AV83" s="19" t="s">
        <v>70</v>
      </c>
      <c r="AW83" s="10" t="s">
        <v>111</v>
      </c>
      <c r="AX83" s="10">
        <v>2016</v>
      </c>
      <c r="AY83" s="10">
        <v>3</v>
      </c>
      <c r="AZ83" s="10"/>
      <c r="BA83" s="20">
        <v>0.15458085248370448</v>
      </c>
      <c r="BB83" s="20">
        <v>1.545808524837045</v>
      </c>
      <c r="BC83" s="20">
        <f>BA83*60*AR83/AY83</f>
        <v>0.67706413387862563</v>
      </c>
      <c r="BD83" s="20">
        <f>BB83*60*AQ83/AY83</f>
        <v>0.67706413387862563</v>
      </c>
    </row>
    <row r="84" spans="1:56" s="18" customFormat="1" ht="15.6" customHeight="1">
      <c r="A84" s="10">
        <v>83</v>
      </c>
      <c r="B84" s="13"/>
      <c r="C84" s="11" t="s">
        <v>10</v>
      </c>
      <c r="D84" s="11"/>
      <c r="E84" s="27">
        <v>1</v>
      </c>
      <c r="F84" s="11"/>
      <c r="G84" s="11"/>
      <c r="H84" s="27"/>
      <c r="I84" s="11" t="s">
        <v>205</v>
      </c>
      <c r="J84" s="11"/>
      <c r="K84" s="11">
        <v>0.02</v>
      </c>
      <c r="L84" s="11"/>
      <c r="M84" s="11" t="s">
        <v>7</v>
      </c>
      <c r="N84" s="11"/>
      <c r="O84" s="11">
        <v>0.04</v>
      </c>
      <c r="P84" s="11"/>
      <c r="Q84" s="11"/>
      <c r="R84" s="11"/>
      <c r="S84" s="11"/>
      <c r="T84" s="11"/>
      <c r="U84" s="10"/>
      <c r="V84" s="10"/>
      <c r="W84" s="10"/>
      <c r="X84" s="10"/>
      <c r="Y84" s="50">
        <v>321</v>
      </c>
      <c r="Z84" s="10"/>
      <c r="AA84" s="10" t="s">
        <v>69</v>
      </c>
      <c r="AB84" s="10">
        <v>0</v>
      </c>
      <c r="AC84" s="20">
        <v>0</v>
      </c>
      <c r="AD84" s="10" t="s">
        <v>43</v>
      </c>
      <c r="AE84" s="10" t="s">
        <v>210</v>
      </c>
      <c r="AF84" s="10" t="s">
        <v>95</v>
      </c>
      <c r="AG84" s="10">
        <v>7.5</v>
      </c>
      <c r="AH84" s="10">
        <v>0</v>
      </c>
      <c r="AI84" s="27">
        <f>0.1*60/3</f>
        <v>2</v>
      </c>
      <c r="AJ84" s="27"/>
      <c r="AK84" s="10">
        <v>1</v>
      </c>
      <c r="AL84" s="10">
        <v>643</v>
      </c>
      <c r="AM84" s="19"/>
      <c r="AN84" s="19"/>
      <c r="AO84" s="19">
        <f>Table1[[#This Row],[Y_Acryl_Fa]]/Table1[[#This Row],[S_Acryl_Fa]]</f>
        <v>0.25057858194824323</v>
      </c>
      <c r="AP84" s="19">
        <v>0.9506</v>
      </c>
      <c r="AQ84" s="19">
        <f>Table1[[#This Row],[Y_Acryl_Fa]]/Table1[[#This Row],[Ratio_Ac_Fa]]</f>
        <v>3.1759999999999997E-2</v>
      </c>
      <c r="AR84" s="19">
        <v>0.2382</v>
      </c>
      <c r="AS84" s="28">
        <f t="shared" si="13"/>
        <v>0.94561678571118135</v>
      </c>
      <c r="AT84" s="29"/>
      <c r="AU84" s="10" t="s">
        <v>73</v>
      </c>
      <c r="AV84" s="19"/>
      <c r="AW84" s="10" t="s">
        <v>111</v>
      </c>
      <c r="AX84" s="10">
        <v>2016</v>
      </c>
      <c r="AY84" s="10">
        <v>3</v>
      </c>
      <c r="AZ84" s="10"/>
      <c r="BA84" s="20">
        <v>0.19849218843643607</v>
      </c>
      <c r="BB84" s="20">
        <v>1.4886914132732705</v>
      </c>
      <c r="BC84" s="20">
        <f>BA84*60*AR84/AY84</f>
        <v>0.94561678571118135</v>
      </c>
      <c r="BD84" s="20">
        <f>BB84*60*AQ84/AY84</f>
        <v>0.94561678571118135</v>
      </c>
    </row>
    <row r="85" spans="1:56" s="18" customFormat="1" ht="15.6" customHeight="1">
      <c r="A85" s="10">
        <v>84</v>
      </c>
      <c r="B85" s="13">
        <f t="shared" ref="B85:B90" si="19">1-0.15</f>
        <v>0.85</v>
      </c>
      <c r="C85" s="11" t="s">
        <v>12</v>
      </c>
      <c r="D85" s="11"/>
      <c r="E85" s="27">
        <v>1</v>
      </c>
      <c r="F85" s="11"/>
      <c r="G85" s="11"/>
      <c r="H85" s="27"/>
      <c r="I85" s="11" t="s">
        <v>205</v>
      </c>
      <c r="J85" s="11">
        <v>1</v>
      </c>
      <c r="K85" s="11"/>
      <c r="L85" s="11"/>
      <c r="M85" s="11" t="s">
        <v>7</v>
      </c>
      <c r="N85" s="11">
        <v>1</v>
      </c>
      <c r="O85" s="11"/>
      <c r="P85" s="11"/>
      <c r="Q85" s="11"/>
      <c r="R85" s="10"/>
      <c r="S85" s="10"/>
      <c r="T85" s="10"/>
      <c r="U85" s="10"/>
      <c r="V85" s="10"/>
      <c r="W85" s="10"/>
      <c r="X85" s="11"/>
      <c r="Y85" s="50">
        <v>210.3</v>
      </c>
      <c r="Z85" s="50">
        <v>362</v>
      </c>
      <c r="AA85" s="10" t="s">
        <v>66</v>
      </c>
      <c r="AB85" s="10">
        <v>1</v>
      </c>
      <c r="AC85" s="20">
        <f t="shared" ref="AC85:AC98" si="20">21/(79+21)</f>
        <v>0.21</v>
      </c>
      <c r="AD85" s="10" t="s">
        <v>44</v>
      </c>
      <c r="AE85" s="10" t="s">
        <v>211</v>
      </c>
      <c r="AF85" s="10" t="s">
        <v>95</v>
      </c>
      <c r="AG85" s="10">
        <v>5</v>
      </c>
      <c r="AH85" s="10">
        <v>0</v>
      </c>
      <c r="AI85" s="27">
        <v>1</v>
      </c>
      <c r="AJ85" s="27"/>
      <c r="AK85" s="10">
        <v>1</v>
      </c>
      <c r="AL85" s="10">
        <v>623</v>
      </c>
      <c r="AM85" s="19"/>
      <c r="AN85" s="19"/>
      <c r="AO85" s="19">
        <f>Table1[[#This Row],[Y_Acryl_Fa]]/Table1[[#This Row],[S_Acryl_Fa]]</f>
        <v>0.37650186071238706</v>
      </c>
      <c r="AP85" s="19">
        <v>0.9405</v>
      </c>
      <c r="AQ85" s="19">
        <f>Table1[[#This Row],[Y_Acryl_Fa]]/Table1[[#This Row],[Ratio_Ac_Fa]]</f>
        <v>7.0820000000000008E-2</v>
      </c>
      <c r="AR85" s="19">
        <v>0.35410000000000003</v>
      </c>
      <c r="AS85" s="28">
        <f t="shared" si="13"/>
        <v>0.89098596112311057</v>
      </c>
      <c r="AT85" s="29"/>
      <c r="AU85" s="10" t="s">
        <v>40</v>
      </c>
      <c r="AV85" s="19" t="s">
        <v>72</v>
      </c>
      <c r="AW85" s="10" t="s">
        <v>111</v>
      </c>
      <c r="AX85" s="10">
        <v>2016</v>
      </c>
      <c r="AY85" s="10">
        <v>6</v>
      </c>
      <c r="AZ85" s="10"/>
      <c r="BA85" s="20">
        <v>0.25161987041036721</v>
      </c>
      <c r="BB85" s="20">
        <v>1.2580993520518362</v>
      </c>
      <c r="BC85" s="20">
        <f>BA85*60*AR85/AY85</f>
        <v>0.89098596112311046</v>
      </c>
      <c r="BD85" s="20">
        <f>BB85*60*AQ85/AY85</f>
        <v>0.89098596112311057</v>
      </c>
    </row>
    <row r="86" spans="1:56" s="18" customFormat="1" ht="15.6" customHeight="1">
      <c r="A86" s="10">
        <v>85</v>
      </c>
      <c r="B86" s="13">
        <f t="shared" si="19"/>
        <v>0.85</v>
      </c>
      <c r="C86" s="10" t="s">
        <v>104</v>
      </c>
      <c r="D86" s="11"/>
      <c r="E86" s="27">
        <v>1</v>
      </c>
      <c r="F86" s="11"/>
      <c r="G86" s="11"/>
      <c r="H86" s="27"/>
      <c r="I86" s="10" t="s">
        <v>205</v>
      </c>
      <c r="J86" s="11">
        <v>1</v>
      </c>
      <c r="K86" s="11"/>
      <c r="L86" s="11"/>
      <c r="M86" s="10" t="s">
        <v>7</v>
      </c>
      <c r="N86" s="11">
        <v>1</v>
      </c>
      <c r="O86" s="11"/>
      <c r="P86" s="11"/>
      <c r="Q86" s="10"/>
      <c r="R86" s="10"/>
      <c r="S86" s="10"/>
      <c r="T86" s="10"/>
      <c r="U86" s="10"/>
      <c r="V86" s="10"/>
      <c r="W86" s="10"/>
      <c r="X86" s="10"/>
      <c r="Y86" s="50">
        <v>14.1</v>
      </c>
      <c r="Z86" s="10">
        <v>16.3</v>
      </c>
      <c r="AA86" s="10" t="s">
        <v>66</v>
      </c>
      <c r="AB86" s="10">
        <v>1</v>
      </c>
      <c r="AC86" s="20">
        <f t="shared" si="20"/>
        <v>0.21</v>
      </c>
      <c r="AD86" s="10" t="s">
        <v>44</v>
      </c>
      <c r="AE86" s="10" t="s">
        <v>211</v>
      </c>
      <c r="AF86" s="10" t="s">
        <v>95</v>
      </c>
      <c r="AG86" s="10">
        <v>5</v>
      </c>
      <c r="AH86" s="10">
        <v>0</v>
      </c>
      <c r="AI86" s="27">
        <v>1</v>
      </c>
      <c r="AJ86" s="27"/>
      <c r="AK86" s="10">
        <v>1</v>
      </c>
      <c r="AL86" s="10">
        <v>623</v>
      </c>
      <c r="AM86" s="19"/>
      <c r="AN86" s="19"/>
      <c r="AO86" s="19">
        <f>Table1[[#This Row],[Y_Acryl_Fa]]/Table1[[#This Row],[S_Acryl_Fa]]</f>
        <v>0.34853801169590642</v>
      </c>
      <c r="AP86" s="19">
        <v>0.9405</v>
      </c>
      <c r="AQ86" s="19">
        <f>Table1[[#This Row],[Y_Acryl_Fa]]/Table1[[#This Row],[Ratio_Ac_Fa]]</f>
        <v>6.5559999999999993E-2</v>
      </c>
      <c r="AR86" s="19">
        <v>0.32779999999999998</v>
      </c>
      <c r="AS86" s="28">
        <f t="shared" si="13"/>
        <v>0.82480993520518364</v>
      </c>
      <c r="AT86" s="29"/>
      <c r="AU86" s="10" t="s">
        <v>40</v>
      </c>
      <c r="AV86" s="19"/>
      <c r="AW86" s="10" t="s">
        <v>111</v>
      </c>
      <c r="AX86" s="10">
        <v>2016</v>
      </c>
      <c r="AY86" s="10">
        <v>6</v>
      </c>
      <c r="AZ86" s="10"/>
      <c r="BA86" s="20">
        <v>0.25161987041036721</v>
      </c>
      <c r="BB86" s="20">
        <v>1.2580993520518362</v>
      </c>
      <c r="BC86" s="20">
        <f>BA86*60*AR86/AY86</f>
        <v>0.82480993520518364</v>
      </c>
      <c r="BD86" s="20">
        <f>BB86*60*AQ86/AY86</f>
        <v>0.82480993520518375</v>
      </c>
    </row>
    <row r="87" spans="1:56" s="18" customFormat="1" ht="15.6" customHeight="1">
      <c r="A87" s="10">
        <v>86</v>
      </c>
      <c r="B87" s="13">
        <f t="shared" si="19"/>
        <v>0.85</v>
      </c>
      <c r="C87" s="10" t="s">
        <v>10</v>
      </c>
      <c r="D87" s="11"/>
      <c r="E87" s="27">
        <v>1</v>
      </c>
      <c r="F87" s="11"/>
      <c r="G87" s="11"/>
      <c r="H87" s="27"/>
      <c r="I87" s="10" t="s">
        <v>205</v>
      </c>
      <c r="J87" s="11">
        <v>1</v>
      </c>
      <c r="K87" s="11"/>
      <c r="L87" s="11"/>
      <c r="M87" s="10" t="s">
        <v>7</v>
      </c>
      <c r="N87" s="11">
        <v>1</v>
      </c>
      <c r="O87" s="11"/>
      <c r="P87" s="11"/>
      <c r="Q87" s="10"/>
      <c r="R87" s="10"/>
      <c r="S87" s="10"/>
      <c r="T87" s="10"/>
      <c r="U87" s="10"/>
      <c r="V87" s="10"/>
      <c r="W87" s="10"/>
      <c r="X87" s="10"/>
      <c r="Y87" s="50">
        <v>391.61</v>
      </c>
      <c r="Z87" s="10">
        <v>463.4</v>
      </c>
      <c r="AA87" s="10" t="s">
        <v>66</v>
      </c>
      <c r="AB87" s="10">
        <v>1</v>
      </c>
      <c r="AC87" s="20">
        <f t="shared" si="20"/>
        <v>0.21</v>
      </c>
      <c r="AD87" s="10" t="s">
        <v>44</v>
      </c>
      <c r="AE87" s="10" t="s">
        <v>211</v>
      </c>
      <c r="AF87" s="10" t="s">
        <v>95</v>
      </c>
      <c r="AG87" s="10">
        <v>5</v>
      </c>
      <c r="AH87" s="10">
        <v>0</v>
      </c>
      <c r="AI87" s="27">
        <v>1</v>
      </c>
      <c r="AJ87" s="27"/>
      <c r="AK87" s="10">
        <v>1</v>
      </c>
      <c r="AL87" s="10">
        <v>623</v>
      </c>
      <c r="AM87" s="19"/>
      <c r="AN87" s="19"/>
      <c r="AO87" s="19">
        <f>Table1[[#This Row],[Y_Acryl_Fa]]/Table1[[#This Row],[S_Acryl_Fa]]</f>
        <v>0.27086154807792479</v>
      </c>
      <c r="AP87" s="19">
        <v>0.95989999999999998</v>
      </c>
      <c r="AQ87" s="19">
        <f>Table1[[#This Row],[Y_Acryl_Fa]]/Table1[[#This Row],[Ratio_Ac_Fa]]</f>
        <v>5.2000000000000005E-2</v>
      </c>
      <c r="AR87" s="19">
        <v>0.26</v>
      </c>
      <c r="AS87" s="28">
        <f t="shared" si="13"/>
        <v>0.65421166306695477</v>
      </c>
      <c r="AT87" s="29"/>
      <c r="AU87" s="10" t="s">
        <v>40</v>
      </c>
      <c r="AV87" s="19"/>
      <c r="AW87" s="10" t="s">
        <v>111</v>
      </c>
      <c r="AX87" s="10">
        <v>2016</v>
      </c>
      <c r="AY87" s="10">
        <v>6</v>
      </c>
      <c r="AZ87" s="10"/>
      <c r="BA87" s="20">
        <v>0.25161987041036721</v>
      </c>
      <c r="BB87" s="20">
        <v>1.2580993520518362</v>
      </c>
      <c r="BC87" s="20">
        <f>BA87*60*AR87/AY87</f>
        <v>0.65421166306695477</v>
      </c>
      <c r="BD87" s="20">
        <f>BB87*60*AQ87/AY87</f>
        <v>0.65421166306695488</v>
      </c>
    </row>
    <row r="88" spans="1:56" s="18" customFormat="1" ht="15.6" customHeight="1">
      <c r="A88" s="10">
        <v>87</v>
      </c>
      <c r="B88" s="13">
        <f t="shared" si="19"/>
        <v>0.85</v>
      </c>
      <c r="C88" s="10" t="s">
        <v>11</v>
      </c>
      <c r="D88" s="11"/>
      <c r="E88" s="27">
        <v>1</v>
      </c>
      <c r="F88" s="11"/>
      <c r="G88" s="11"/>
      <c r="H88" s="27"/>
      <c r="I88" s="10" t="s">
        <v>205</v>
      </c>
      <c r="J88" s="11">
        <v>1</v>
      </c>
      <c r="K88" s="11"/>
      <c r="L88" s="11"/>
      <c r="M88" s="10" t="s">
        <v>7</v>
      </c>
      <c r="N88" s="11">
        <v>1</v>
      </c>
      <c r="O88" s="11"/>
      <c r="P88" s="11"/>
      <c r="Q88" s="10"/>
      <c r="R88" s="10"/>
      <c r="S88" s="10"/>
      <c r="T88" s="10"/>
      <c r="U88" s="10"/>
      <c r="V88" s="10"/>
      <c r="W88" s="10"/>
      <c r="X88" s="10"/>
      <c r="Y88" s="50">
        <v>9.26</v>
      </c>
      <c r="Z88" s="10">
        <v>9.4</v>
      </c>
      <c r="AA88" s="10" t="s">
        <v>66</v>
      </c>
      <c r="AB88" s="10">
        <v>1</v>
      </c>
      <c r="AC88" s="20">
        <f t="shared" si="20"/>
        <v>0.21</v>
      </c>
      <c r="AD88" s="10" t="s">
        <v>44</v>
      </c>
      <c r="AE88" s="10" t="s">
        <v>211</v>
      </c>
      <c r="AF88" s="10" t="s">
        <v>95</v>
      </c>
      <c r="AG88" s="10">
        <v>5</v>
      </c>
      <c r="AH88" s="10">
        <v>0</v>
      </c>
      <c r="AI88" s="27">
        <v>1</v>
      </c>
      <c r="AJ88" s="27"/>
      <c r="AK88" s="10">
        <v>1</v>
      </c>
      <c r="AL88" s="10">
        <v>623</v>
      </c>
      <c r="AM88" s="19"/>
      <c r="AN88" s="19"/>
      <c r="AO88" s="19">
        <f>Table1[[#This Row],[Y_Acryl_Fa]]/Table1[[#This Row],[S_Acryl_Fa]]</f>
        <v>0.20521995369395915</v>
      </c>
      <c r="AP88" s="19">
        <v>0.95020000000000004</v>
      </c>
      <c r="AQ88" s="19">
        <f>Table1[[#This Row],[Y_Acryl_Fa]]/Table1[[#This Row],[Ratio_Ac_Fa]]</f>
        <v>3.9E-2</v>
      </c>
      <c r="AR88" s="19">
        <v>0.19500000000000001</v>
      </c>
      <c r="AS88" s="28">
        <f t="shared" si="13"/>
        <v>0.49065874730021608</v>
      </c>
      <c r="AT88" s="29"/>
      <c r="AU88" s="10" t="s">
        <v>40</v>
      </c>
      <c r="AV88" s="19"/>
      <c r="AW88" s="10" t="s">
        <v>111</v>
      </c>
      <c r="AX88" s="10">
        <v>2016</v>
      </c>
      <c r="AY88" s="10">
        <v>6</v>
      </c>
      <c r="AZ88" s="10"/>
      <c r="BA88" s="20">
        <v>0.25161987041036721</v>
      </c>
      <c r="BB88" s="20">
        <v>1.2580993520518362</v>
      </c>
      <c r="BC88" s="20">
        <f>BA88*60*AR88/AY88</f>
        <v>0.49065874730021602</v>
      </c>
      <c r="BD88" s="20">
        <f>BB88*60*AQ88/AY88</f>
        <v>0.49065874730021614</v>
      </c>
    </row>
    <row r="89" spans="1:56" s="18" customFormat="1" ht="15.6" customHeight="1">
      <c r="A89" s="10">
        <v>88</v>
      </c>
      <c r="B89" s="13">
        <f t="shared" si="19"/>
        <v>0.85</v>
      </c>
      <c r="C89" s="10" t="s">
        <v>41</v>
      </c>
      <c r="D89" s="11"/>
      <c r="E89" s="27">
        <v>1</v>
      </c>
      <c r="F89" s="11"/>
      <c r="G89" s="11"/>
      <c r="H89" s="27"/>
      <c r="I89" s="10" t="s">
        <v>205</v>
      </c>
      <c r="J89" s="11">
        <v>1</v>
      </c>
      <c r="K89" s="11"/>
      <c r="L89" s="11"/>
      <c r="M89" s="10" t="s">
        <v>7</v>
      </c>
      <c r="N89" s="11">
        <v>1</v>
      </c>
      <c r="O89" s="11"/>
      <c r="P89" s="11"/>
      <c r="Q89" s="10"/>
      <c r="R89" s="10"/>
      <c r="S89" s="10"/>
      <c r="T89" s="10"/>
      <c r="U89" s="10"/>
      <c r="V89" s="10"/>
      <c r="W89" s="10"/>
      <c r="X89" s="10"/>
      <c r="Y89" s="50">
        <v>6.75</v>
      </c>
      <c r="Z89" s="10">
        <v>7.4</v>
      </c>
      <c r="AA89" s="10" t="s">
        <v>66</v>
      </c>
      <c r="AB89" s="10">
        <v>1</v>
      </c>
      <c r="AC89" s="20">
        <f t="shared" si="20"/>
        <v>0.21</v>
      </c>
      <c r="AD89" s="10" t="s">
        <v>44</v>
      </c>
      <c r="AE89" s="10" t="s">
        <v>211</v>
      </c>
      <c r="AF89" s="10" t="s">
        <v>95</v>
      </c>
      <c r="AG89" s="10">
        <v>5</v>
      </c>
      <c r="AH89" s="10">
        <v>0</v>
      </c>
      <c r="AI89" s="27">
        <v>1</v>
      </c>
      <c r="AJ89" s="27"/>
      <c r="AK89" s="10">
        <v>1</v>
      </c>
      <c r="AL89" s="10">
        <v>623</v>
      </c>
      <c r="AM89" s="19"/>
      <c r="AN89" s="19"/>
      <c r="AO89" s="19">
        <f>Table1[[#This Row],[Y_Acryl_Fa]]/Table1[[#This Row],[S_Acryl_Fa]]</f>
        <v>0.20725062866722549</v>
      </c>
      <c r="AP89" s="19">
        <v>0.95440000000000003</v>
      </c>
      <c r="AQ89" s="19">
        <f>Table1[[#This Row],[Y_Acryl_Fa]]/Table1[[#This Row],[Ratio_Ac_Fa]]</f>
        <v>3.9559999999999998E-2</v>
      </c>
      <c r="AR89" s="19">
        <v>0.1978</v>
      </c>
      <c r="AS89" s="28">
        <f t="shared" si="13"/>
        <v>0.49770410367170637</v>
      </c>
      <c r="AT89" s="29"/>
      <c r="AU89" s="10" t="s">
        <v>40</v>
      </c>
      <c r="AV89" s="19"/>
      <c r="AW89" s="10" t="s">
        <v>111</v>
      </c>
      <c r="AX89" s="10">
        <v>2016</v>
      </c>
      <c r="AY89" s="10">
        <v>6</v>
      </c>
      <c r="AZ89" s="10"/>
      <c r="BA89" s="20">
        <v>0.25161987041036721</v>
      </c>
      <c r="BB89" s="20">
        <v>1.2580993520518362</v>
      </c>
      <c r="BC89" s="20">
        <f>BA89*60*AR89/AY89</f>
        <v>0.49770410367170631</v>
      </c>
      <c r="BD89" s="20">
        <f>BB89*60*AQ89/AY89</f>
        <v>0.49770410367170642</v>
      </c>
    </row>
    <row r="90" spans="1:56" s="18" customFormat="1" ht="15.6" customHeight="1">
      <c r="A90" s="10">
        <v>89</v>
      </c>
      <c r="B90" s="13">
        <f t="shared" si="19"/>
        <v>0.85</v>
      </c>
      <c r="C90" s="10" t="s">
        <v>206</v>
      </c>
      <c r="D90" s="11"/>
      <c r="E90" s="27">
        <v>1</v>
      </c>
      <c r="F90" s="11"/>
      <c r="G90" s="11"/>
      <c r="H90" s="27"/>
      <c r="I90" s="10" t="s">
        <v>205</v>
      </c>
      <c r="J90" s="11">
        <v>1</v>
      </c>
      <c r="K90" s="11"/>
      <c r="L90" s="11"/>
      <c r="M90" s="10" t="s">
        <v>7</v>
      </c>
      <c r="N90" s="11">
        <v>1</v>
      </c>
      <c r="O90" s="11"/>
      <c r="P90" s="11"/>
      <c r="Q90" s="10"/>
      <c r="R90" s="10"/>
      <c r="S90" s="10"/>
      <c r="T90" s="10"/>
      <c r="U90" s="10"/>
      <c r="V90" s="10"/>
      <c r="W90" s="10"/>
      <c r="X90" s="10"/>
      <c r="Y90" s="50">
        <v>3.4</v>
      </c>
      <c r="Z90" s="10">
        <v>4.4000000000000004</v>
      </c>
      <c r="AA90" s="10" t="s">
        <v>66</v>
      </c>
      <c r="AB90" s="10">
        <v>1</v>
      </c>
      <c r="AC90" s="20">
        <f t="shared" si="20"/>
        <v>0.21</v>
      </c>
      <c r="AD90" s="10" t="s">
        <v>44</v>
      </c>
      <c r="AE90" s="10" t="s">
        <v>211</v>
      </c>
      <c r="AF90" s="10" t="s">
        <v>95</v>
      </c>
      <c r="AG90" s="10">
        <v>5</v>
      </c>
      <c r="AH90" s="10">
        <v>0</v>
      </c>
      <c r="AI90" s="27">
        <v>1</v>
      </c>
      <c r="AJ90" s="27"/>
      <c r="AK90" s="10">
        <v>1</v>
      </c>
      <c r="AL90" s="10">
        <v>623</v>
      </c>
      <c r="AM90" s="19"/>
      <c r="AN90" s="19"/>
      <c r="AO90" s="19">
        <f>Table1[[#This Row],[Y_Acryl_Fa]]/Table1[[#This Row],[S_Acryl_Fa]]</f>
        <v>1.7999999999999999E-2</v>
      </c>
      <c r="AP90" s="19">
        <v>1</v>
      </c>
      <c r="AQ90" s="19">
        <f>Table1[[#This Row],[Y_Acryl_Fa]]/Table1[[#This Row],[Ratio_Ac_Fa]]</f>
        <v>3.5999999999999999E-3</v>
      </c>
      <c r="AR90" s="19">
        <v>1.7999999999999999E-2</v>
      </c>
      <c r="AS90" s="28">
        <f t="shared" si="13"/>
        <v>4.5291576673866102E-2</v>
      </c>
      <c r="AT90" s="29"/>
      <c r="AU90" s="10" t="s">
        <v>40</v>
      </c>
      <c r="AV90" s="19"/>
      <c r="AW90" s="10" t="s">
        <v>111</v>
      </c>
      <c r="AX90" s="10">
        <v>2016</v>
      </c>
      <c r="AY90" s="10">
        <v>6</v>
      </c>
      <c r="AZ90" s="10"/>
      <c r="BA90" s="20">
        <v>0.25161987041036721</v>
      </c>
      <c r="BB90" s="20">
        <v>1.2580993520518362</v>
      </c>
      <c r="BC90" s="20">
        <f>BA90*60*AR90/AY90</f>
        <v>4.5291576673866095E-2</v>
      </c>
      <c r="BD90" s="20">
        <f>BB90*60*AQ90/AY90</f>
        <v>4.5291576673866102E-2</v>
      </c>
    </row>
    <row r="91" spans="1:56" s="18" customFormat="1" ht="15.6" customHeight="1">
      <c r="A91" s="10">
        <v>90</v>
      </c>
      <c r="B91" s="13">
        <v>1</v>
      </c>
      <c r="C91" s="10" t="s">
        <v>12</v>
      </c>
      <c r="D91" s="10"/>
      <c r="E91" s="27">
        <v>1</v>
      </c>
      <c r="F91" s="10"/>
      <c r="G91" s="10"/>
      <c r="H91" s="27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50">
        <v>362</v>
      </c>
      <c r="Z91" s="10"/>
      <c r="AA91" s="10" t="s">
        <v>4</v>
      </c>
      <c r="AB91" s="10">
        <v>1</v>
      </c>
      <c r="AC91" s="20">
        <f t="shared" si="20"/>
        <v>0.21</v>
      </c>
      <c r="AD91" s="10" t="s">
        <v>44</v>
      </c>
      <c r="AE91" s="10" t="s">
        <v>211</v>
      </c>
      <c r="AF91" s="10" t="s">
        <v>95</v>
      </c>
      <c r="AG91" s="10">
        <v>5</v>
      </c>
      <c r="AH91" s="10">
        <v>0</v>
      </c>
      <c r="AI91" s="27">
        <v>1</v>
      </c>
      <c r="AJ91" s="27"/>
      <c r="AK91" s="10">
        <v>1</v>
      </c>
      <c r="AL91" s="10">
        <v>623</v>
      </c>
      <c r="AM91" s="19"/>
      <c r="AN91" s="19"/>
      <c r="AO91" s="19"/>
      <c r="AP91" s="19"/>
      <c r="AQ91" s="19">
        <f>Table1[[#This Row],[Y_Acryl_Fa]]/Table1[[#This Row],[Ratio_Ac_Fa]]</f>
        <v>4.734E-2</v>
      </c>
      <c r="AR91" s="19">
        <v>0.23669999999999999</v>
      </c>
      <c r="AS91" s="28">
        <f t="shared" ref="AS91:AS112" si="21">AVERAGE(BC91:BD91)</f>
        <v>0.59558423326133925</v>
      </c>
      <c r="AT91" s="29"/>
      <c r="AU91" s="10" t="s">
        <v>40</v>
      </c>
      <c r="AV91" s="19"/>
      <c r="AW91" s="10" t="s">
        <v>111</v>
      </c>
      <c r="AX91" s="10">
        <v>2016</v>
      </c>
      <c r="AY91" s="10">
        <v>6</v>
      </c>
      <c r="AZ91" s="10"/>
      <c r="BA91" s="20">
        <v>0.25161987041036721</v>
      </c>
      <c r="BB91" s="20">
        <v>1.2580993520518362</v>
      </c>
      <c r="BC91" s="20">
        <f>BA91*60*AR91/AY91</f>
        <v>0.59558423326133914</v>
      </c>
      <c r="BD91" s="20">
        <f>BB91*60*AQ91/AY91</f>
        <v>0.59558423326133925</v>
      </c>
    </row>
    <row r="92" spans="1:56" s="18" customFormat="1" ht="15.6" customHeight="1">
      <c r="A92" s="10">
        <v>91</v>
      </c>
      <c r="B92" s="13">
        <v>1</v>
      </c>
      <c r="C92" s="10" t="s">
        <v>104</v>
      </c>
      <c r="D92" s="10"/>
      <c r="E92" s="27">
        <v>1</v>
      </c>
      <c r="F92" s="10"/>
      <c r="G92" s="10"/>
      <c r="H92" s="27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>
        <v>16.3</v>
      </c>
      <c r="Z92" s="10"/>
      <c r="AA92" s="10" t="s">
        <v>4</v>
      </c>
      <c r="AB92" s="10">
        <v>1</v>
      </c>
      <c r="AC92" s="20">
        <f t="shared" si="20"/>
        <v>0.21</v>
      </c>
      <c r="AD92" s="10" t="s">
        <v>44</v>
      </c>
      <c r="AE92" s="10" t="s">
        <v>211</v>
      </c>
      <c r="AF92" s="10" t="s">
        <v>95</v>
      </c>
      <c r="AG92" s="10">
        <v>5</v>
      </c>
      <c r="AH92" s="10">
        <v>0</v>
      </c>
      <c r="AI92" s="27">
        <v>1</v>
      </c>
      <c r="AJ92" s="27"/>
      <c r="AK92" s="10">
        <v>1</v>
      </c>
      <c r="AL92" s="10">
        <v>623</v>
      </c>
      <c r="AM92" s="19"/>
      <c r="AN92" s="19"/>
      <c r="AO92" s="19"/>
      <c r="AP92" s="19"/>
      <c r="AQ92" s="19">
        <f>Table1[[#This Row],[Y_Acryl_Fa]]/Table1[[#This Row],[Ratio_Ac_Fa]]</f>
        <v>4.0260000000000004E-2</v>
      </c>
      <c r="AR92" s="19">
        <v>0.20130000000000001</v>
      </c>
      <c r="AS92" s="28">
        <f t="shared" si="21"/>
        <v>0.50651079913606933</v>
      </c>
      <c r="AT92" s="29"/>
      <c r="AU92" s="10" t="s">
        <v>40</v>
      </c>
      <c r="AV92" s="19"/>
      <c r="AW92" s="10" t="s">
        <v>111</v>
      </c>
      <c r="AX92" s="10">
        <v>2016</v>
      </c>
      <c r="AY92" s="10">
        <v>6</v>
      </c>
      <c r="AZ92" s="10"/>
      <c r="BA92" s="20">
        <v>0.25161987041036721</v>
      </c>
      <c r="BB92" s="20">
        <v>1.2580993520518362</v>
      </c>
      <c r="BC92" s="20">
        <f>BA92*60*AR92/AY92</f>
        <v>0.50651079913606922</v>
      </c>
      <c r="BD92" s="20">
        <f>BB92*60*AQ92/AY92</f>
        <v>0.50651079913606933</v>
      </c>
    </row>
    <row r="93" spans="1:56" s="18" customFormat="1" ht="15.6" customHeight="1">
      <c r="A93" s="10">
        <v>92</v>
      </c>
      <c r="B93" s="13">
        <v>1</v>
      </c>
      <c r="C93" s="10" t="s">
        <v>10</v>
      </c>
      <c r="D93" s="10"/>
      <c r="E93" s="27">
        <v>1</v>
      </c>
      <c r="F93" s="10"/>
      <c r="G93" s="10"/>
      <c r="H93" s="27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>
        <v>463.4</v>
      </c>
      <c r="Z93" s="10"/>
      <c r="AA93" s="10" t="s">
        <v>4</v>
      </c>
      <c r="AB93" s="10">
        <v>1</v>
      </c>
      <c r="AC93" s="20">
        <f t="shared" si="20"/>
        <v>0.21</v>
      </c>
      <c r="AD93" s="10" t="s">
        <v>44</v>
      </c>
      <c r="AE93" s="10" t="s">
        <v>211</v>
      </c>
      <c r="AF93" s="10" t="s">
        <v>95</v>
      </c>
      <c r="AG93" s="10">
        <v>5</v>
      </c>
      <c r="AH93" s="10">
        <v>0</v>
      </c>
      <c r="AI93" s="27">
        <v>1</v>
      </c>
      <c r="AJ93" s="27"/>
      <c r="AK93" s="10">
        <v>1</v>
      </c>
      <c r="AL93" s="10">
        <v>623</v>
      </c>
      <c r="AM93" s="19"/>
      <c r="AN93" s="19"/>
      <c r="AO93" s="19"/>
      <c r="AP93" s="19"/>
      <c r="AQ93" s="19">
        <f>Table1[[#This Row],[Y_Acryl_Fa]]/Table1[[#This Row],[Ratio_Ac_Fa]]</f>
        <v>2.656E-2</v>
      </c>
      <c r="AR93" s="19">
        <v>0.1328</v>
      </c>
      <c r="AS93" s="28">
        <f t="shared" si="21"/>
        <v>0.33415118790496767</v>
      </c>
      <c r="AT93" s="29"/>
      <c r="AU93" s="10" t="s">
        <v>40</v>
      </c>
      <c r="AV93" s="19"/>
      <c r="AW93" s="10" t="s">
        <v>111</v>
      </c>
      <c r="AX93" s="10">
        <v>2016</v>
      </c>
      <c r="AY93" s="10">
        <v>6</v>
      </c>
      <c r="AZ93" s="10"/>
      <c r="BA93" s="20">
        <v>0.25161987041036721</v>
      </c>
      <c r="BB93" s="20">
        <v>1.2580993520518362</v>
      </c>
      <c r="BC93" s="20">
        <f>BA93*60*AR93/AY93</f>
        <v>0.33415118790496767</v>
      </c>
      <c r="BD93" s="20">
        <f>BB93*60*AQ93/AY93</f>
        <v>0.33415118790496767</v>
      </c>
    </row>
    <row r="94" spans="1:56" s="18" customFormat="1" ht="15.6" customHeight="1">
      <c r="A94" s="10">
        <v>93</v>
      </c>
      <c r="B94" s="13">
        <v>1</v>
      </c>
      <c r="C94" s="10" t="s">
        <v>11</v>
      </c>
      <c r="D94" s="10"/>
      <c r="E94" s="27">
        <v>1</v>
      </c>
      <c r="F94" s="10"/>
      <c r="G94" s="10"/>
      <c r="H94" s="27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>
        <v>9.4</v>
      </c>
      <c r="Z94" s="10"/>
      <c r="AA94" s="10" t="s">
        <v>4</v>
      </c>
      <c r="AB94" s="10">
        <v>1</v>
      </c>
      <c r="AC94" s="20">
        <f t="shared" si="20"/>
        <v>0.21</v>
      </c>
      <c r="AD94" s="10" t="s">
        <v>44</v>
      </c>
      <c r="AE94" s="10" t="s">
        <v>211</v>
      </c>
      <c r="AF94" s="10" t="s">
        <v>95</v>
      </c>
      <c r="AG94" s="10">
        <v>5</v>
      </c>
      <c r="AH94" s="10">
        <v>0</v>
      </c>
      <c r="AI94" s="27">
        <v>1</v>
      </c>
      <c r="AJ94" s="27"/>
      <c r="AK94" s="10">
        <v>1</v>
      </c>
      <c r="AL94" s="10">
        <v>623</v>
      </c>
      <c r="AM94" s="19"/>
      <c r="AN94" s="19"/>
      <c r="AO94" s="19"/>
      <c r="AP94" s="19"/>
      <c r="AQ94" s="19">
        <f>Table1[[#This Row],[Y_Acryl_Fa]]/Table1[[#This Row],[Ratio_Ac_Fa]]</f>
        <v>1.6080000000000001E-2</v>
      </c>
      <c r="AR94" s="19">
        <v>8.0399999999999999E-2</v>
      </c>
      <c r="AS94" s="28">
        <f t="shared" si="21"/>
        <v>0.20230237580993526</v>
      </c>
      <c r="AT94" s="29"/>
      <c r="AU94" s="10" t="s">
        <v>40</v>
      </c>
      <c r="AV94" s="19"/>
      <c r="AW94" s="10" t="s">
        <v>111</v>
      </c>
      <c r="AX94" s="10">
        <v>2016</v>
      </c>
      <c r="AY94" s="10">
        <v>6</v>
      </c>
      <c r="AZ94" s="10"/>
      <c r="BA94" s="20">
        <v>0.25161987041036721</v>
      </c>
      <c r="BB94" s="20">
        <v>1.2580993520518362</v>
      </c>
      <c r="BC94" s="20">
        <f>BA94*60*AR94/AY94</f>
        <v>0.20230237580993524</v>
      </c>
      <c r="BD94" s="20">
        <f>BB94*60*AQ94/AY94</f>
        <v>0.20230237580993526</v>
      </c>
    </row>
    <row r="95" spans="1:56" s="18" customFormat="1" ht="15.6" customHeight="1">
      <c r="A95" s="10">
        <v>94</v>
      </c>
      <c r="B95" s="13">
        <v>1</v>
      </c>
      <c r="C95" s="10" t="s">
        <v>41</v>
      </c>
      <c r="D95" s="10"/>
      <c r="E95" s="27">
        <v>1</v>
      </c>
      <c r="F95" s="10"/>
      <c r="G95" s="10"/>
      <c r="H95" s="27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>
        <v>7.4</v>
      </c>
      <c r="Z95" s="10"/>
      <c r="AA95" s="10" t="s">
        <v>4</v>
      </c>
      <c r="AB95" s="10">
        <v>1</v>
      </c>
      <c r="AC95" s="20">
        <f t="shared" si="20"/>
        <v>0.21</v>
      </c>
      <c r="AD95" s="10" t="s">
        <v>44</v>
      </c>
      <c r="AE95" s="10" t="s">
        <v>211</v>
      </c>
      <c r="AF95" s="10" t="s">
        <v>95</v>
      </c>
      <c r="AG95" s="10">
        <v>5</v>
      </c>
      <c r="AH95" s="10">
        <v>0</v>
      </c>
      <c r="AI95" s="27">
        <v>1</v>
      </c>
      <c r="AJ95" s="27"/>
      <c r="AK95" s="10">
        <v>1</v>
      </c>
      <c r="AL95" s="10">
        <v>623</v>
      </c>
      <c r="AM95" s="19"/>
      <c r="AN95" s="19"/>
      <c r="AO95" s="19"/>
      <c r="AP95" s="19"/>
      <c r="AQ95" s="19">
        <f>Table1[[#This Row],[Y_Acryl_Fa]]/Table1[[#This Row],[Ratio_Ac_Fa]]</f>
        <v>1.9959999999999999E-2</v>
      </c>
      <c r="AR95" s="19">
        <v>9.98E-2</v>
      </c>
      <c r="AS95" s="28">
        <f t="shared" si="21"/>
        <v>0.25111663066954648</v>
      </c>
      <c r="AT95" s="29"/>
      <c r="AU95" s="10" t="s">
        <v>40</v>
      </c>
      <c r="AV95" s="19"/>
      <c r="AW95" s="10" t="s">
        <v>111</v>
      </c>
      <c r="AX95" s="10">
        <v>2016</v>
      </c>
      <c r="AY95" s="10">
        <v>6</v>
      </c>
      <c r="AZ95" s="10"/>
      <c r="BA95" s="20">
        <v>0.25161987041036721</v>
      </c>
      <c r="BB95" s="20">
        <v>1.2580993520518362</v>
      </c>
      <c r="BC95" s="20">
        <f>BA95*60*AR95/AY95</f>
        <v>0.25111663066954648</v>
      </c>
      <c r="BD95" s="20">
        <f>BB95*60*AQ95/AY95</f>
        <v>0.25111663066954648</v>
      </c>
    </row>
    <row r="96" spans="1:56" s="18" customFormat="1" ht="15.6" customHeight="1">
      <c r="A96" s="10">
        <v>95</v>
      </c>
      <c r="B96" s="13">
        <v>1</v>
      </c>
      <c r="C96" s="10" t="s">
        <v>206</v>
      </c>
      <c r="D96" s="10"/>
      <c r="E96" s="27">
        <v>1</v>
      </c>
      <c r="F96" s="10"/>
      <c r="G96" s="10"/>
      <c r="H96" s="27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>
        <v>4.4000000000000004</v>
      </c>
      <c r="Z96" s="10"/>
      <c r="AA96" s="10" t="s">
        <v>4</v>
      </c>
      <c r="AB96" s="10">
        <v>1</v>
      </c>
      <c r="AC96" s="20">
        <f t="shared" si="20"/>
        <v>0.21</v>
      </c>
      <c r="AD96" s="10" t="s">
        <v>44</v>
      </c>
      <c r="AE96" s="10" t="s">
        <v>211</v>
      </c>
      <c r="AF96" s="10" t="s">
        <v>95</v>
      </c>
      <c r="AG96" s="10">
        <v>5</v>
      </c>
      <c r="AH96" s="10">
        <v>0</v>
      </c>
      <c r="AI96" s="27">
        <v>1</v>
      </c>
      <c r="AJ96" s="27"/>
      <c r="AK96" s="10">
        <v>1</v>
      </c>
      <c r="AL96" s="10">
        <v>623</v>
      </c>
      <c r="AM96" s="19"/>
      <c r="AN96" s="19"/>
      <c r="AO96" s="19"/>
      <c r="AP96" s="19"/>
      <c r="AQ96" s="19">
        <f>Table1[[#This Row],[Y_Acryl_Fa]]/Table1[[#This Row],[Ratio_Ac_Fa]]</f>
        <v>4.4200000000000003E-3</v>
      </c>
      <c r="AR96" s="19">
        <v>2.2100000000000002E-2</v>
      </c>
      <c r="AS96" s="28">
        <f t="shared" si="21"/>
        <v>5.5607991360691167E-2</v>
      </c>
      <c r="AT96" s="29"/>
      <c r="AU96" s="10" t="s">
        <v>40</v>
      </c>
      <c r="AV96" s="19"/>
      <c r="AW96" s="10" t="s">
        <v>111</v>
      </c>
      <c r="AX96" s="10">
        <v>2016</v>
      </c>
      <c r="AY96" s="10">
        <v>6</v>
      </c>
      <c r="AZ96" s="10"/>
      <c r="BA96" s="20">
        <v>0.25161987041036721</v>
      </c>
      <c r="BB96" s="20">
        <v>1.2580993520518362</v>
      </c>
      <c r="BC96" s="20">
        <f>BA96*60*AR96/AY96</f>
        <v>5.560799136069116E-2</v>
      </c>
      <c r="BD96" s="20">
        <f>BB96*60*AQ96/AY96</f>
        <v>5.5607991360691167E-2</v>
      </c>
    </row>
    <row r="97" spans="1:56" s="18" customFormat="1" ht="15.6" customHeight="1">
      <c r="A97" s="10">
        <v>96</v>
      </c>
      <c r="B97" s="13">
        <f>1-0.15</f>
        <v>0.85</v>
      </c>
      <c r="C97" s="10" t="s">
        <v>12</v>
      </c>
      <c r="D97" s="11"/>
      <c r="E97" s="27">
        <v>1</v>
      </c>
      <c r="F97" s="11"/>
      <c r="G97" s="11"/>
      <c r="H97" s="27"/>
      <c r="I97" s="10" t="s">
        <v>205</v>
      </c>
      <c r="J97" s="10">
        <v>1</v>
      </c>
      <c r="K97" s="10"/>
      <c r="L97" s="10"/>
      <c r="M97" s="10" t="s">
        <v>7</v>
      </c>
      <c r="N97" s="10">
        <v>1</v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50">
        <v>210.3</v>
      </c>
      <c r="Z97" s="50">
        <v>362</v>
      </c>
      <c r="AA97" s="10" t="s">
        <v>66</v>
      </c>
      <c r="AB97" s="10">
        <v>1</v>
      </c>
      <c r="AC97" s="20">
        <f t="shared" si="20"/>
        <v>0.21</v>
      </c>
      <c r="AD97" s="10" t="s">
        <v>44</v>
      </c>
      <c r="AE97" s="10" t="s">
        <v>211</v>
      </c>
      <c r="AF97" s="10" t="s">
        <v>95</v>
      </c>
      <c r="AG97" s="10">
        <v>5</v>
      </c>
      <c r="AH97" s="10">
        <v>0</v>
      </c>
      <c r="AI97" s="27">
        <v>1</v>
      </c>
      <c r="AJ97" s="27"/>
      <c r="AK97" s="10">
        <v>1</v>
      </c>
      <c r="AL97" s="10">
        <v>623</v>
      </c>
      <c r="AM97" s="19"/>
      <c r="AN97" s="19"/>
      <c r="AO97" s="19">
        <v>0.42</v>
      </c>
      <c r="AP97" s="19">
        <v>0.92</v>
      </c>
      <c r="AQ97" s="19">
        <v>7.7280000000000001E-2</v>
      </c>
      <c r="AR97" s="19">
        <v>0.38640000000000002</v>
      </c>
      <c r="AS97" s="28">
        <f t="shared" si="21"/>
        <v>0.97225917926565897</v>
      </c>
      <c r="AT97" s="29">
        <v>1</v>
      </c>
      <c r="AU97" s="10" t="s">
        <v>40</v>
      </c>
      <c r="AV97" s="19"/>
      <c r="AW97" s="10" t="s">
        <v>111</v>
      </c>
      <c r="AX97" s="10">
        <v>2016</v>
      </c>
      <c r="AY97" s="10">
        <v>6</v>
      </c>
      <c r="AZ97" s="10"/>
      <c r="BA97" s="20">
        <v>0.25161987041036721</v>
      </c>
      <c r="BB97" s="20">
        <v>1.2580993520518362</v>
      </c>
      <c r="BC97" s="20">
        <f>BA97*60*AR97/AY97</f>
        <v>0.97225917926565897</v>
      </c>
      <c r="BD97" s="20">
        <f>BB97*60*AQ97/AY97</f>
        <v>0.97225917926565897</v>
      </c>
    </row>
    <row r="98" spans="1:56" s="18" customFormat="1">
      <c r="A98" s="10">
        <v>97</v>
      </c>
      <c r="B98" s="13">
        <v>0</v>
      </c>
      <c r="C98" s="10"/>
      <c r="D98" s="10"/>
      <c r="E98" s="27"/>
      <c r="F98" s="10"/>
      <c r="G98" s="10"/>
      <c r="H98" s="27"/>
      <c r="I98" s="10" t="s">
        <v>205</v>
      </c>
      <c r="J98" s="10">
        <v>1</v>
      </c>
      <c r="K98" s="10"/>
      <c r="L98" s="10"/>
      <c r="M98" s="10" t="s">
        <v>7</v>
      </c>
      <c r="N98" s="10">
        <v>1.2</v>
      </c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50">
        <v>33.6</v>
      </c>
      <c r="Z98" s="50"/>
      <c r="AA98" s="10" t="s">
        <v>4</v>
      </c>
      <c r="AB98" s="10">
        <v>1</v>
      </c>
      <c r="AC98" s="20">
        <f t="shared" si="20"/>
        <v>0.21</v>
      </c>
      <c r="AD98" s="10" t="s">
        <v>44</v>
      </c>
      <c r="AE98" s="10" t="s">
        <v>211</v>
      </c>
      <c r="AF98" s="10" t="s">
        <v>95</v>
      </c>
      <c r="AG98" s="10">
        <v>5</v>
      </c>
      <c r="AH98" s="10">
        <v>0</v>
      </c>
      <c r="AI98" s="27">
        <v>2</v>
      </c>
      <c r="AJ98" s="27">
        <f>20/3</f>
        <v>6.666666666666667</v>
      </c>
      <c r="AK98" s="10">
        <v>1</v>
      </c>
      <c r="AL98" s="10">
        <v>643</v>
      </c>
      <c r="AM98" s="19"/>
      <c r="AN98" s="19"/>
      <c r="AO98" s="19">
        <f>Table1[[#This Row],[Y_Acryl_Fa]]/Table1[[#This Row],[S_Acryl_Fa]]</f>
        <v>0.76979381443298978</v>
      </c>
      <c r="AP98" s="19">
        <v>0.97</v>
      </c>
      <c r="AQ98" s="19">
        <f>Table1[[#This Row],[Y_Acryl_Fa]]/Table1[[#This Row],[Ratio_Ac_Fa]]</f>
        <v>0.14934</v>
      </c>
      <c r="AR98" s="19">
        <v>0.74670000000000003</v>
      </c>
      <c r="AS98" s="28">
        <f t="shared" si="21"/>
        <v>3.7576911447084242</v>
      </c>
      <c r="AT98" s="29">
        <v>1</v>
      </c>
      <c r="AU98" s="10" t="s">
        <v>35</v>
      </c>
      <c r="AV98" s="19" t="s">
        <v>71</v>
      </c>
      <c r="AW98" s="10" t="s">
        <v>111</v>
      </c>
      <c r="AX98" s="10">
        <v>2017</v>
      </c>
      <c r="AY98" s="10">
        <v>3</v>
      </c>
      <c r="AZ98" s="10"/>
      <c r="BA98" s="20">
        <v>0.25161987041036721</v>
      </c>
      <c r="BB98" s="20">
        <v>1.2580993520518362</v>
      </c>
      <c r="BC98" s="20">
        <f>BA98*60*AR98/AY98</f>
        <v>3.7576911447084242</v>
      </c>
      <c r="BD98" s="20">
        <f>BB98*60*AQ98/AY98</f>
        <v>3.7576911447084242</v>
      </c>
    </row>
    <row r="99" spans="1:56" s="18" customFormat="1">
      <c r="A99" s="10">
        <v>98</v>
      </c>
      <c r="B99" s="13">
        <v>0</v>
      </c>
      <c r="C99" s="10"/>
      <c r="D99" s="10"/>
      <c r="E99" s="27"/>
      <c r="F99" s="10"/>
      <c r="G99" s="10"/>
      <c r="H99" s="27"/>
      <c r="I99" s="10" t="s">
        <v>205</v>
      </c>
      <c r="J99" s="10">
        <v>1</v>
      </c>
      <c r="K99" s="10"/>
      <c r="L99" s="10"/>
      <c r="M99" s="10" t="s">
        <v>7</v>
      </c>
      <c r="N99" s="10">
        <v>1.2</v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50">
        <v>33.6</v>
      </c>
      <c r="Z99" s="50"/>
      <c r="AA99" s="10" t="s">
        <v>4</v>
      </c>
      <c r="AB99" s="10">
        <v>1</v>
      </c>
      <c r="AC99" s="20">
        <v>0</v>
      </c>
      <c r="AD99" s="10" t="s">
        <v>44</v>
      </c>
      <c r="AE99" s="10" t="s">
        <v>211</v>
      </c>
      <c r="AF99" s="10" t="s">
        <v>95</v>
      </c>
      <c r="AG99" s="10">
        <v>5</v>
      </c>
      <c r="AH99" s="10">
        <v>0</v>
      </c>
      <c r="AI99" s="27">
        <v>2</v>
      </c>
      <c r="AJ99" s="27"/>
      <c r="AK99" s="10">
        <v>1</v>
      </c>
      <c r="AL99" s="10">
        <v>643</v>
      </c>
      <c r="AM99" s="19"/>
      <c r="AN99" s="19"/>
      <c r="AO99" s="19"/>
      <c r="AP99" s="19"/>
      <c r="AQ99" s="19">
        <f>Table1[[#This Row],[Y_Acryl_Fa]]/Table1[[#This Row],[Ratio_Ac_Fa]]</f>
        <v>8.2540000000000002E-2</v>
      </c>
      <c r="AR99" s="19">
        <v>0.41270000000000001</v>
      </c>
      <c r="AS99" s="28">
        <f t="shared" si="21"/>
        <v>2.0768704103671709</v>
      </c>
      <c r="AT99" s="29"/>
      <c r="AU99" s="10" t="s">
        <v>35</v>
      </c>
      <c r="AV99" s="19"/>
      <c r="AW99" s="10" t="s">
        <v>111</v>
      </c>
      <c r="AX99" s="10">
        <v>2017</v>
      </c>
      <c r="AY99" s="10">
        <v>3</v>
      </c>
      <c r="AZ99" s="10"/>
      <c r="BA99" s="20">
        <v>0.25161987041036721</v>
      </c>
      <c r="BB99" s="20">
        <v>1.2580993520518362</v>
      </c>
      <c r="BC99" s="20">
        <f>BA99*60*AR99/AY99</f>
        <v>2.0768704103671709</v>
      </c>
      <c r="BD99" s="20">
        <f>BB99*60*AQ99/AY99</f>
        <v>2.0768704103671713</v>
      </c>
    </row>
    <row r="100" spans="1:56" s="18" customFormat="1" ht="18" customHeight="1">
      <c r="A100" s="10">
        <v>99</v>
      </c>
      <c r="B100" s="13">
        <v>0</v>
      </c>
      <c r="C100" s="10"/>
      <c r="D100" s="10"/>
      <c r="E100" s="27"/>
      <c r="F100" s="10"/>
      <c r="G100" s="10"/>
      <c r="H100" s="27"/>
      <c r="I100" s="10" t="s">
        <v>205</v>
      </c>
      <c r="J100" s="10">
        <v>1</v>
      </c>
      <c r="K100" s="10"/>
      <c r="L100" s="10"/>
      <c r="M100" s="10" t="s">
        <v>7</v>
      </c>
      <c r="N100" s="10">
        <v>1.05</v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50">
        <v>30</v>
      </c>
      <c r="Z100" s="10"/>
      <c r="AA100" s="10" t="s">
        <v>57</v>
      </c>
      <c r="AB100" s="10">
        <v>1</v>
      </c>
      <c r="AC100" s="20">
        <f>21/(79+21)</f>
        <v>0.21</v>
      </c>
      <c r="AD100" s="10" t="s">
        <v>44</v>
      </c>
      <c r="AE100" s="10" t="s">
        <v>211</v>
      </c>
      <c r="AF100" s="10" t="s">
        <v>95</v>
      </c>
      <c r="AG100" s="10">
        <v>2.5</v>
      </c>
      <c r="AH100" s="10">
        <v>0</v>
      </c>
      <c r="AI100" s="27">
        <v>2</v>
      </c>
      <c r="AJ100" s="27"/>
      <c r="AK100" s="10">
        <v>1</v>
      </c>
      <c r="AL100" s="10">
        <v>643</v>
      </c>
      <c r="AM100" s="19"/>
      <c r="AN100" s="19"/>
      <c r="AO100" s="19">
        <f>Table1[[#This Row],[Y_Acryl_Fa]]/Table1[[#This Row],[S_Acryl_Fa]]</f>
        <v>0.55837563451776651</v>
      </c>
      <c r="AP100" s="19">
        <v>0.98499999999999999</v>
      </c>
      <c r="AQ100" s="19">
        <f>Table1[[#This Row],[Y_Acryl_Fa]]/Table1[[#This Row],[Ratio_Ac_Fa]]</f>
        <v>0.22000000000000003</v>
      </c>
      <c r="AR100" s="19">
        <v>0.55000000000000004</v>
      </c>
      <c r="AS100" s="28">
        <f t="shared" si="21"/>
        <v>5.5356371490280791</v>
      </c>
      <c r="AT100" s="29"/>
      <c r="AU100" s="10" t="s">
        <v>61</v>
      </c>
      <c r="AV100" s="19" t="s">
        <v>70</v>
      </c>
      <c r="AW100" s="10" t="s">
        <v>111</v>
      </c>
      <c r="AX100" s="10">
        <v>2018</v>
      </c>
      <c r="AY100" s="10">
        <v>3</v>
      </c>
      <c r="AZ100" s="10"/>
      <c r="BA100" s="20">
        <v>0.50323974082073442</v>
      </c>
      <c r="BB100" s="20">
        <v>1.258099352051836</v>
      </c>
      <c r="BC100" s="20">
        <f>BA100*60*AR100/AY100</f>
        <v>5.5356371490280791</v>
      </c>
      <c r="BD100" s="20">
        <f>BB100*60*AQ100/AY100</f>
        <v>5.5356371490280791</v>
      </c>
    </row>
    <row r="101" spans="1:56" s="18" customFormat="1" ht="18" customHeight="1">
      <c r="A101" s="10">
        <v>100</v>
      </c>
      <c r="B101" s="13">
        <v>0</v>
      </c>
      <c r="C101" s="10"/>
      <c r="D101" s="10"/>
      <c r="E101" s="27"/>
      <c r="F101" s="10"/>
      <c r="G101" s="10"/>
      <c r="H101" s="27"/>
      <c r="I101" s="10" t="s">
        <v>205</v>
      </c>
      <c r="J101" s="10">
        <v>1</v>
      </c>
      <c r="K101" s="10"/>
      <c r="L101" s="10"/>
      <c r="M101" s="10" t="s">
        <v>7</v>
      </c>
      <c r="N101" s="10">
        <v>1.05</v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50">
        <v>48.2</v>
      </c>
      <c r="Z101" s="10"/>
      <c r="AA101" s="10" t="s">
        <v>4</v>
      </c>
      <c r="AB101" s="10">
        <v>0</v>
      </c>
      <c r="AC101" s="20">
        <v>0</v>
      </c>
      <c r="AD101" s="10" t="s">
        <v>44</v>
      </c>
      <c r="AE101" s="10" t="s">
        <v>211</v>
      </c>
      <c r="AF101" s="10" t="s">
        <v>95</v>
      </c>
      <c r="AG101" s="10">
        <v>5</v>
      </c>
      <c r="AH101" s="10">
        <v>0</v>
      </c>
      <c r="AI101" s="27">
        <f>1*5/3</f>
        <v>1.6666666666666667</v>
      </c>
      <c r="AJ101" s="27"/>
      <c r="AK101" s="10">
        <v>1</v>
      </c>
      <c r="AL101" s="10">
        <v>643</v>
      </c>
      <c r="AM101" s="19"/>
      <c r="AN101" s="19"/>
      <c r="AO101" s="19"/>
      <c r="AP101" s="19"/>
      <c r="AQ101" s="19">
        <f>Table1[[#This Row],[Y_Acryl_Fa]]/Table1[[#This Row],[Ratio_Ac_Fa]]</f>
        <v>6.0999999999999999E-2</v>
      </c>
      <c r="AR101" s="19">
        <v>0.30499999999999999</v>
      </c>
      <c r="AS101" s="28">
        <f t="shared" si="21"/>
        <v>1.2790676745860332</v>
      </c>
      <c r="AT101" s="16" t="s">
        <v>13</v>
      </c>
      <c r="AU101" s="10" t="s">
        <v>117</v>
      </c>
      <c r="AV101" s="30" t="s">
        <v>329</v>
      </c>
      <c r="AW101" s="10" t="s">
        <v>111</v>
      </c>
      <c r="AX101" s="10">
        <v>2018</v>
      </c>
      <c r="AY101" s="10">
        <v>3</v>
      </c>
      <c r="AZ101" s="10"/>
      <c r="BA101" s="20">
        <v>0.20968322534197267</v>
      </c>
      <c r="BB101" s="20">
        <v>1.0484161267098635</v>
      </c>
      <c r="BC101" s="20">
        <f>BA101*60*AR101/AY101</f>
        <v>1.2790676745860332</v>
      </c>
      <c r="BD101" s="20">
        <f>BB101*60*AQ101/AY101</f>
        <v>1.2790676745860334</v>
      </c>
    </row>
    <row r="102" spans="1:56" s="18" customFormat="1" ht="18" customHeight="1">
      <c r="A102" s="10">
        <v>101</v>
      </c>
      <c r="B102" s="13">
        <v>0</v>
      </c>
      <c r="C102" s="10"/>
      <c r="D102" s="10"/>
      <c r="E102" s="27"/>
      <c r="F102" s="10"/>
      <c r="G102" s="10"/>
      <c r="H102" s="27"/>
      <c r="I102" s="10" t="s">
        <v>205</v>
      </c>
      <c r="J102" s="10">
        <v>1</v>
      </c>
      <c r="K102" s="10"/>
      <c r="L102" s="10"/>
      <c r="M102" s="10" t="s">
        <v>7</v>
      </c>
      <c r="N102" s="10">
        <v>1.05</v>
      </c>
      <c r="O102" s="10"/>
      <c r="P102" s="10"/>
      <c r="Q102" s="10" t="s">
        <v>41</v>
      </c>
      <c r="R102" s="10">
        <v>0.02</v>
      </c>
      <c r="S102" s="10"/>
      <c r="T102" s="10"/>
      <c r="U102" s="10"/>
      <c r="V102" s="10"/>
      <c r="W102" s="10"/>
      <c r="X102" s="10"/>
      <c r="Y102" s="50">
        <v>8.4</v>
      </c>
      <c r="Z102" s="10">
        <v>48</v>
      </c>
      <c r="AA102" s="10" t="s">
        <v>3</v>
      </c>
      <c r="AB102" s="10">
        <v>0</v>
      </c>
      <c r="AC102" s="20">
        <v>0</v>
      </c>
      <c r="AD102" s="10" t="s">
        <v>44</v>
      </c>
      <c r="AE102" s="10" t="s">
        <v>211</v>
      </c>
      <c r="AF102" s="10" t="s">
        <v>95</v>
      </c>
      <c r="AG102" s="10">
        <v>5</v>
      </c>
      <c r="AH102" s="10">
        <v>0</v>
      </c>
      <c r="AI102" s="27">
        <f>1*5/3</f>
        <v>1.6666666666666667</v>
      </c>
      <c r="AJ102" s="27"/>
      <c r="AK102" s="10">
        <v>1</v>
      </c>
      <c r="AL102" s="10">
        <v>643</v>
      </c>
      <c r="AM102" s="19"/>
      <c r="AN102" s="19"/>
      <c r="AO102" s="19"/>
      <c r="AP102" s="19"/>
      <c r="AQ102" s="19">
        <f>Table1[[#This Row],[Y_Acryl_Fa]]/Table1[[#This Row],[Ratio_Ac_Fa]]</f>
        <v>8.0200000000000007E-2</v>
      </c>
      <c r="AR102" s="19">
        <v>0.40100000000000002</v>
      </c>
      <c r="AS102" s="28">
        <f t="shared" si="21"/>
        <v>1.6816594672426213</v>
      </c>
      <c r="AT102" s="16" t="s">
        <v>240</v>
      </c>
      <c r="AU102" s="10" t="s">
        <v>117</v>
      </c>
      <c r="AV102" s="30"/>
      <c r="AW102" s="10" t="s">
        <v>111</v>
      </c>
      <c r="AX102" s="10">
        <v>2018</v>
      </c>
      <c r="AY102" s="10">
        <v>3</v>
      </c>
      <c r="AZ102" s="10"/>
      <c r="BA102" s="20">
        <v>0.20968322534197267</v>
      </c>
      <c r="BB102" s="20">
        <v>1.0484161267098635</v>
      </c>
      <c r="BC102" s="20">
        <f>BA102*60*AR102/AY102</f>
        <v>1.6816594672426211</v>
      </c>
      <c r="BD102" s="20">
        <f>BB102*60*AQ102/AY102</f>
        <v>1.6816594672426213</v>
      </c>
    </row>
    <row r="103" spans="1:56" s="54" customFormat="1" ht="18" customHeight="1">
      <c r="A103" s="10">
        <v>102</v>
      </c>
      <c r="B103" s="13">
        <v>0</v>
      </c>
      <c r="C103" s="10"/>
      <c r="D103" s="10"/>
      <c r="E103" s="27"/>
      <c r="F103" s="10"/>
      <c r="G103" s="10"/>
      <c r="H103" s="27"/>
      <c r="I103" s="10" t="s">
        <v>205</v>
      </c>
      <c r="J103" s="10">
        <v>1</v>
      </c>
      <c r="K103" s="10"/>
      <c r="L103" s="10"/>
      <c r="M103" s="10" t="s">
        <v>7</v>
      </c>
      <c r="N103" s="10">
        <v>1.05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50">
        <v>48.2</v>
      </c>
      <c r="Z103" s="50"/>
      <c r="AA103" s="10" t="s">
        <v>4</v>
      </c>
      <c r="AB103" s="10">
        <v>0</v>
      </c>
      <c r="AC103" s="20">
        <v>0</v>
      </c>
      <c r="AD103" s="10" t="s">
        <v>44</v>
      </c>
      <c r="AE103" s="10" t="s">
        <v>211</v>
      </c>
      <c r="AF103" s="10" t="s">
        <v>95</v>
      </c>
      <c r="AG103" s="10">
        <v>5</v>
      </c>
      <c r="AH103" s="10">
        <v>0</v>
      </c>
      <c r="AI103" s="27">
        <f t="shared" ref="AI103:AI112" si="22">1.2*5/3</f>
        <v>2</v>
      </c>
      <c r="AJ103" s="27"/>
      <c r="AK103" s="10">
        <v>1</v>
      </c>
      <c r="AL103" s="10">
        <v>653</v>
      </c>
      <c r="AM103" s="19"/>
      <c r="AN103" s="19"/>
      <c r="AO103" s="19">
        <v>0.33</v>
      </c>
      <c r="AP103" s="19">
        <f>Table1[[#This Row],[Y_Acryl_Fa]]/Table1[[#This Row],[X_Fa]]</f>
        <v>0.46607101053452976</v>
      </c>
      <c r="AQ103" s="19">
        <f>Table1[[#This Row],[Y_Acryl_Fa]]/Table1[[#This Row],[Ratio_Ac_Fa]]</f>
        <v>3.0760686695278965E-2</v>
      </c>
      <c r="AR103" s="19">
        <f>Table1[[#This Row],[STY_Acryl_mmolhg_manual]]*AY103/60/BA103</f>
        <v>0.15380343347639483</v>
      </c>
      <c r="AS103" s="28">
        <f t="shared" si="21"/>
        <v>0.77400000000000002</v>
      </c>
      <c r="AT103" s="29"/>
      <c r="AU103" s="10" t="s">
        <v>42</v>
      </c>
      <c r="AV103" s="19" t="s">
        <v>68</v>
      </c>
      <c r="AW103" s="10" t="s">
        <v>111</v>
      </c>
      <c r="AX103" s="10">
        <v>2018</v>
      </c>
      <c r="AY103" s="10">
        <v>3</v>
      </c>
      <c r="AZ103" s="10"/>
      <c r="BA103" s="20">
        <v>0.25161987041036721</v>
      </c>
      <c r="BB103" s="20">
        <v>1.2580993520518362</v>
      </c>
      <c r="BC103" s="20">
        <v>0.77400000000000002</v>
      </c>
      <c r="BD103" s="20">
        <v>0.77400000000000002</v>
      </c>
    </row>
    <row r="104" spans="1:56" s="54" customFormat="1" ht="18" customHeight="1">
      <c r="A104" s="10">
        <v>103</v>
      </c>
      <c r="B104" s="13">
        <v>0</v>
      </c>
      <c r="C104" s="10"/>
      <c r="D104" s="10"/>
      <c r="E104" s="27"/>
      <c r="F104" s="10"/>
      <c r="G104" s="10"/>
      <c r="H104" s="27"/>
      <c r="I104" s="10" t="s">
        <v>205</v>
      </c>
      <c r="J104" s="10">
        <v>1</v>
      </c>
      <c r="K104" s="10"/>
      <c r="L104" s="10"/>
      <c r="M104" s="10" t="s">
        <v>7</v>
      </c>
      <c r="N104" s="10">
        <v>1.05</v>
      </c>
      <c r="O104" s="10"/>
      <c r="P104" s="10"/>
      <c r="Q104" s="10" t="s">
        <v>112</v>
      </c>
      <c r="R104" s="10">
        <v>0.02</v>
      </c>
      <c r="S104" s="10"/>
      <c r="T104" s="10"/>
      <c r="U104" s="10"/>
      <c r="V104" s="10"/>
      <c r="W104" s="10"/>
      <c r="X104" s="10"/>
      <c r="Y104" s="50">
        <v>11.2</v>
      </c>
      <c r="Z104" s="50">
        <v>48.2</v>
      </c>
      <c r="AA104" s="10" t="s">
        <v>3</v>
      </c>
      <c r="AB104" s="10">
        <v>0</v>
      </c>
      <c r="AC104" s="20">
        <v>0</v>
      </c>
      <c r="AD104" s="10" t="s">
        <v>44</v>
      </c>
      <c r="AE104" s="10" t="s">
        <v>211</v>
      </c>
      <c r="AF104" s="10" t="s">
        <v>95</v>
      </c>
      <c r="AG104" s="10">
        <v>5</v>
      </c>
      <c r="AH104" s="10">
        <v>0</v>
      </c>
      <c r="AI104" s="27">
        <f t="shared" si="22"/>
        <v>2</v>
      </c>
      <c r="AJ104" s="27"/>
      <c r="AK104" s="10">
        <v>1</v>
      </c>
      <c r="AL104" s="10">
        <v>653</v>
      </c>
      <c r="AM104" s="19"/>
      <c r="AN104" s="19"/>
      <c r="AO104" s="19">
        <v>0.27500000000000002</v>
      </c>
      <c r="AP104" s="19">
        <f>Table1[[#This Row],[Y_Acryl_Fa]]/Table1[[#This Row],[X_Fa]]</f>
        <v>0.5679563012095199</v>
      </c>
      <c r="AQ104" s="19">
        <f>Table1[[#This Row],[Y_Acryl_Fa]]/Table1[[#This Row],[Ratio_Ac_Fa]]</f>
        <v>3.1237596566523595E-2</v>
      </c>
      <c r="AR104" s="19">
        <f>Table1[[#This Row],[STY_Acryl_mmolhg_manual]]*AY104/60/BA104</f>
        <v>0.15618798283261798</v>
      </c>
      <c r="AS104" s="28">
        <f t="shared" si="21"/>
        <v>0.78599999999999992</v>
      </c>
      <c r="AT104" s="29"/>
      <c r="AU104" s="10" t="s">
        <v>42</v>
      </c>
      <c r="AV104" s="19"/>
      <c r="AW104" s="10" t="s">
        <v>111</v>
      </c>
      <c r="AX104" s="10">
        <v>2018</v>
      </c>
      <c r="AY104" s="10">
        <v>3</v>
      </c>
      <c r="AZ104" s="10"/>
      <c r="BA104" s="20">
        <v>0.25161987041036721</v>
      </c>
      <c r="BB104" s="20">
        <v>1.2580993520518362</v>
      </c>
      <c r="BC104" s="20">
        <v>0.78599999999999992</v>
      </c>
      <c r="BD104" s="20">
        <v>0.78599999999999992</v>
      </c>
    </row>
    <row r="105" spans="1:56" s="54" customFormat="1">
      <c r="A105" s="10">
        <v>104</v>
      </c>
      <c r="B105" s="13">
        <v>0</v>
      </c>
      <c r="C105" s="10"/>
      <c r="D105" s="10"/>
      <c r="E105" s="27"/>
      <c r="F105" s="10"/>
      <c r="G105" s="10"/>
      <c r="H105" s="27"/>
      <c r="I105" s="10" t="s">
        <v>205</v>
      </c>
      <c r="J105" s="10">
        <v>1</v>
      </c>
      <c r="K105" s="10"/>
      <c r="L105" s="10"/>
      <c r="M105" s="10" t="s">
        <v>7</v>
      </c>
      <c r="N105" s="10">
        <v>1.05</v>
      </c>
      <c r="O105" s="10"/>
      <c r="P105" s="10"/>
      <c r="Q105" s="10" t="s">
        <v>113</v>
      </c>
      <c r="R105" s="10">
        <v>0.02</v>
      </c>
      <c r="S105" s="10"/>
      <c r="T105" s="10"/>
      <c r="U105" s="10"/>
      <c r="V105" s="10"/>
      <c r="W105" s="10"/>
      <c r="X105" s="10"/>
      <c r="Y105" s="50"/>
      <c r="Z105" s="50">
        <v>48.2</v>
      </c>
      <c r="AA105" s="10" t="s">
        <v>3</v>
      </c>
      <c r="AB105" s="10">
        <v>0</v>
      </c>
      <c r="AC105" s="20">
        <v>0</v>
      </c>
      <c r="AD105" s="10" t="s">
        <v>44</v>
      </c>
      <c r="AE105" s="10" t="s">
        <v>211</v>
      </c>
      <c r="AF105" s="10" t="s">
        <v>95</v>
      </c>
      <c r="AG105" s="10">
        <v>5</v>
      </c>
      <c r="AH105" s="10">
        <v>0</v>
      </c>
      <c r="AI105" s="27">
        <f t="shared" si="22"/>
        <v>2</v>
      </c>
      <c r="AJ105" s="27"/>
      <c r="AK105" s="10">
        <v>1</v>
      </c>
      <c r="AL105" s="10">
        <v>653</v>
      </c>
      <c r="AM105" s="19"/>
      <c r="AN105" s="19"/>
      <c r="AO105" s="19">
        <v>0.27600000000000002</v>
      </c>
      <c r="AP105" s="19">
        <f>Table1[[#This Row],[Y_Acryl_Fa]]/Table1[[#This Row],[X_Fa]]</f>
        <v>0.57021832431423758</v>
      </c>
      <c r="AQ105" s="19">
        <f>Table1[[#This Row],[Y_Acryl_Fa]]/Table1[[#This Row],[Ratio_Ac_Fa]]</f>
        <v>3.147605150214592E-2</v>
      </c>
      <c r="AR105" s="19">
        <f>Table1[[#This Row],[STY_Acryl_mmolhg_manual]]*AY105/60/BA105</f>
        <v>0.15738025751072959</v>
      </c>
      <c r="AS105" s="28">
        <f t="shared" si="21"/>
        <v>0.79200000000000004</v>
      </c>
      <c r="AT105" s="29"/>
      <c r="AU105" s="10" t="s">
        <v>42</v>
      </c>
      <c r="AV105" s="19"/>
      <c r="AW105" s="10" t="s">
        <v>111</v>
      </c>
      <c r="AX105" s="10">
        <v>2018</v>
      </c>
      <c r="AY105" s="10">
        <v>3</v>
      </c>
      <c r="AZ105" s="10"/>
      <c r="BA105" s="20">
        <v>0.25161987041036721</v>
      </c>
      <c r="BB105" s="20">
        <v>1.2580993520518362</v>
      </c>
      <c r="BC105" s="20">
        <v>0.79200000000000004</v>
      </c>
      <c r="BD105" s="20">
        <v>0.79200000000000004</v>
      </c>
    </row>
    <row r="106" spans="1:56" s="54" customFormat="1">
      <c r="A106" s="10">
        <v>105</v>
      </c>
      <c r="B106" s="13">
        <v>0</v>
      </c>
      <c r="C106" s="10"/>
      <c r="D106" s="10"/>
      <c r="E106" s="27"/>
      <c r="F106" s="10"/>
      <c r="G106" s="10"/>
      <c r="H106" s="27"/>
      <c r="I106" s="10" t="s">
        <v>205</v>
      </c>
      <c r="J106" s="10">
        <v>1</v>
      </c>
      <c r="K106" s="10"/>
      <c r="L106" s="10"/>
      <c r="M106" s="10" t="s">
        <v>7</v>
      </c>
      <c r="N106" s="10">
        <v>1.05</v>
      </c>
      <c r="O106" s="10"/>
      <c r="P106" s="10"/>
      <c r="Q106" s="10" t="s">
        <v>114</v>
      </c>
      <c r="R106" s="10">
        <v>0.02</v>
      </c>
      <c r="S106" s="10"/>
      <c r="T106" s="10"/>
      <c r="U106" s="10"/>
      <c r="V106" s="10"/>
      <c r="W106" s="10"/>
      <c r="X106" s="10"/>
      <c r="Y106" s="50"/>
      <c r="Z106" s="50">
        <v>48.2</v>
      </c>
      <c r="AA106" s="10" t="s">
        <v>3</v>
      </c>
      <c r="AB106" s="10">
        <v>0</v>
      </c>
      <c r="AC106" s="20">
        <v>0</v>
      </c>
      <c r="AD106" s="10" t="s">
        <v>44</v>
      </c>
      <c r="AE106" s="10" t="s">
        <v>211</v>
      </c>
      <c r="AF106" s="10" t="s">
        <v>95</v>
      </c>
      <c r="AG106" s="10">
        <v>5</v>
      </c>
      <c r="AH106" s="10">
        <v>0</v>
      </c>
      <c r="AI106" s="27">
        <f t="shared" si="22"/>
        <v>2</v>
      </c>
      <c r="AJ106" s="27"/>
      <c r="AK106" s="10">
        <v>1</v>
      </c>
      <c r="AL106" s="10">
        <v>653</v>
      </c>
      <c r="AM106" s="19"/>
      <c r="AN106" s="19"/>
      <c r="AO106" s="19">
        <v>0.29599999999999999</v>
      </c>
      <c r="AP106" s="19">
        <f>Table1[[#This Row],[Y_Acryl_Fa]]/Table1[[#This Row],[X_Fa]]</f>
        <v>0.56794165410045239</v>
      </c>
      <c r="AQ106" s="19">
        <f>Table1[[#This Row],[Y_Acryl_Fa]]/Table1[[#This Row],[Ratio_Ac_Fa]]</f>
        <v>3.3622145922746774E-2</v>
      </c>
      <c r="AR106" s="19">
        <f>Table1[[#This Row],[STY_Acryl_mmolhg_manual]]*AY106/60/BA106</f>
        <v>0.16811072961373388</v>
      </c>
      <c r="AS106" s="28">
        <f t="shared" si="21"/>
        <v>0.84599999999999997</v>
      </c>
      <c r="AT106" s="29"/>
      <c r="AU106" s="10" t="s">
        <v>42</v>
      </c>
      <c r="AV106" s="19"/>
      <c r="AW106" s="10" t="s">
        <v>111</v>
      </c>
      <c r="AX106" s="10">
        <v>2018</v>
      </c>
      <c r="AY106" s="10">
        <v>3</v>
      </c>
      <c r="AZ106" s="10"/>
      <c r="BA106" s="20">
        <v>0.25161987041036721</v>
      </c>
      <c r="BB106" s="20">
        <v>1.2580993520518362</v>
      </c>
      <c r="BC106" s="20">
        <v>0.84599999999999997</v>
      </c>
      <c r="BD106" s="20">
        <v>0.84599999999999997</v>
      </c>
    </row>
    <row r="107" spans="1:56" s="54" customFormat="1">
      <c r="A107" s="10">
        <v>106</v>
      </c>
      <c r="B107" s="13">
        <v>0</v>
      </c>
      <c r="C107" s="10"/>
      <c r="D107" s="10"/>
      <c r="E107" s="27"/>
      <c r="F107" s="10"/>
      <c r="G107" s="10"/>
      <c r="H107" s="27"/>
      <c r="I107" s="10" t="s">
        <v>205</v>
      </c>
      <c r="J107" s="10">
        <v>1</v>
      </c>
      <c r="K107" s="10"/>
      <c r="L107" s="10"/>
      <c r="M107" s="10" t="s">
        <v>7</v>
      </c>
      <c r="N107" s="10">
        <v>1.05</v>
      </c>
      <c r="O107" s="10"/>
      <c r="P107" s="10"/>
      <c r="Q107" s="10" t="s">
        <v>8</v>
      </c>
      <c r="R107" s="10">
        <v>0.02</v>
      </c>
      <c r="S107" s="10"/>
      <c r="T107" s="10"/>
      <c r="U107" s="10"/>
      <c r="V107" s="10"/>
      <c r="W107" s="10"/>
      <c r="X107" s="10"/>
      <c r="Y107" s="50"/>
      <c r="Z107" s="50">
        <v>48.2</v>
      </c>
      <c r="AA107" s="10" t="s">
        <v>3</v>
      </c>
      <c r="AB107" s="10">
        <v>0</v>
      </c>
      <c r="AC107" s="20">
        <v>0</v>
      </c>
      <c r="AD107" s="10" t="s">
        <v>44</v>
      </c>
      <c r="AE107" s="10" t="s">
        <v>211</v>
      </c>
      <c r="AF107" s="10" t="s">
        <v>95</v>
      </c>
      <c r="AG107" s="10">
        <v>5</v>
      </c>
      <c r="AH107" s="10">
        <v>0</v>
      </c>
      <c r="AI107" s="27">
        <f t="shared" si="22"/>
        <v>2</v>
      </c>
      <c r="AJ107" s="27"/>
      <c r="AK107" s="10">
        <v>1</v>
      </c>
      <c r="AL107" s="10">
        <v>653</v>
      </c>
      <c r="AM107" s="19"/>
      <c r="AN107" s="19"/>
      <c r="AO107" s="19">
        <v>0.316</v>
      </c>
      <c r="AP107" s="19">
        <f>Table1[[#This Row],[Y_Acryl_Fa]]/Table1[[#This Row],[X_Fa]]</f>
        <v>0.56972619112294232</v>
      </c>
      <c r="AQ107" s="19">
        <f>Table1[[#This Row],[Y_Acryl_Fa]]/Table1[[#This Row],[Ratio_Ac_Fa]]</f>
        <v>3.600669527896995E-2</v>
      </c>
      <c r="AR107" s="19">
        <f>Table1[[#This Row],[STY_Acryl_mmolhg_manual]]*AY107/60/BA107</f>
        <v>0.18003347639484976</v>
      </c>
      <c r="AS107" s="28">
        <f t="shared" si="21"/>
        <v>0.90599999999999992</v>
      </c>
      <c r="AT107" s="29"/>
      <c r="AU107" s="10" t="s">
        <v>42</v>
      </c>
      <c r="AV107" s="19"/>
      <c r="AW107" s="10" t="s">
        <v>111</v>
      </c>
      <c r="AX107" s="10">
        <v>2018</v>
      </c>
      <c r="AY107" s="10">
        <v>3</v>
      </c>
      <c r="AZ107" s="10"/>
      <c r="BA107" s="20">
        <v>0.25161987041036721</v>
      </c>
      <c r="BB107" s="20">
        <v>1.2580993520518362</v>
      </c>
      <c r="BC107" s="20">
        <v>0.90599999999999992</v>
      </c>
      <c r="BD107" s="20">
        <v>0.90599999999999992</v>
      </c>
    </row>
    <row r="108" spans="1:56" s="54" customFormat="1">
      <c r="A108" s="10">
        <v>107</v>
      </c>
      <c r="B108" s="13">
        <v>0</v>
      </c>
      <c r="C108" s="10"/>
      <c r="D108" s="10"/>
      <c r="E108" s="27"/>
      <c r="F108" s="10"/>
      <c r="G108" s="10"/>
      <c r="H108" s="27"/>
      <c r="I108" s="10" t="s">
        <v>205</v>
      </c>
      <c r="J108" s="10">
        <v>1</v>
      </c>
      <c r="K108" s="10"/>
      <c r="L108" s="10"/>
      <c r="M108" s="10" t="s">
        <v>7</v>
      </c>
      <c r="N108" s="10">
        <v>1.05</v>
      </c>
      <c r="O108" s="10"/>
      <c r="P108" s="10"/>
      <c r="Q108" s="10" t="s">
        <v>115</v>
      </c>
      <c r="R108" s="10">
        <v>0.02</v>
      </c>
      <c r="S108" s="10"/>
      <c r="T108" s="10"/>
      <c r="U108" s="10"/>
      <c r="V108" s="10"/>
      <c r="W108" s="10"/>
      <c r="X108" s="10"/>
      <c r="Y108" s="50">
        <v>5</v>
      </c>
      <c r="Z108" s="50">
        <v>48.2</v>
      </c>
      <c r="AA108" s="10" t="s">
        <v>3</v>
      </c>
      <c r="AB108" s="10">
        <v>0</v>
      </c>
      <c r="AC108" s="20">
        <v>0</v>
      </c>
      <c r="AD108" s="10" t="s">
        <v>44</v>
      </c>
      <c r="AE108" s="10" t="s">
        <v>211</v>
      </c>
      <c r="AF108" s="10" t="s">
        <v>95</v>
      </c>
      <c r="AG108" s="10">
        <v>5</v>
      </c>
      <c r="AH108" s="10">
        <v>0</v>
      </c>
      <c r="AI108" s="27">
        <f t="shared" si="22"/>
        <v>2</v>
      </c>
      <c r="AJ108" s="27"/>
      <c r="AK108" s="10">
        <v>1</v>
      </c>
      <c r="AL108" s="10">
        <v>653</v>
      </c>
      <c r="AM108" s="19"/>
      <c r="AN108" s="19"/>
      <c r="AO108" s="19">
        <v>0.32300000000000001</v>
      </c>
      <c r="AP108" s="19">
        <f>Table1[[#This Row],[Y_Acryl_Fa]]/Table1[[#This Row],[X_Fa]]</f>
        <v>0.56476168963180473</v>
      </c>
      <c r="AQ108" s="19">
        <f>Table1[[#This Row],[Y_Acryl_Fa]]/Table1[[#This Row],[Ratio_Ac_Fa]]</f>
        <v>3.6483605150214586E-2</v>
      </c>
      <c r="AR108" s="19">
        <f>Table1[[#This Row],[STY_Acryl_mmolhg_manual]]*AY108/60/BA108</f>
        <v>0.18241802575107294</v>
      </c>
      <c r="AS108" s="28">
        <f t="shared" si="21"/>
        <v>0.91800000000000004</v>
      </c>
      <c r="AT108" s="29"/>
      <c r="AU108" s="10" t="s">
        <v>42</v>
      </c>
      <c r="AV108" s="19"/>
      <c r="AW108" s="10" t="s">
        <v>111</v>
      </c>
      <c r="AX108" s="10">
        <v>2018</v>
      </c>
      <c r="AY108" s="10">
        <v>3</v>
      </c>
      <c r="AZ108" s="10"/>
      <c r="BA108" s="20">
        <v>0.25161987041036721</v>
      </c>
      <c r="BB108" s="20">
        <v>1.2580993520518362</v>
      </c>
      <c r="BC108" s="20">
        <v>0.91800000000000004</v>
      </c>
      <c r="BD108" s="20">
        <v>0.91800000000000004</v>
      </c>
    </row>
    <row r="109" spans="1:56" s="54" customFormat="1">
      <c r="A109" s="10">
        <v>108</v>
      </c>
      <c r="B109" s="13">
        <v>0</v>
      </c>
      <c r="C109" s="10"/>
      <c r="D109" s="10"/>
      <c r="E109" s="27"/>
      <c r="F109" s="10"/>
      <c r="G109" s="10"/>
      <c r="H109" s="27"/>
      <c r="I109" s="10" t="s">
        <v>205</v>
      </c>
      <c r="J109" s="10">
        <v>1</v>
      </c>
      <c r="K109" s="10"/>
      <c r="L109" s="10"/>
      <c r="M109" s="10" t="s">
        <v>7</v>
      </c>
      <c r="N109" s="10">
        <v>1.05</v>
      </c>
      <c r="O109" s="10"/>
      <c r="P109" s="10"/>
      <c r="Q109" s="10" t="s">
        <v>116</v>
      </c>
      <c r="R109" s="10">
        <v>0.02</v>
      </c>
      <c r="S109" s="10"/>
      <c r="T109" s="10"/>
      <c r="U109" s="10"/>
      <c r="V109" s="10"/>
      <c r="W109" s="10"/>
      <c r="X109" s="10"/>
      <c r="Y109" s="50"/>
      <c r="Z109" s="50">
        <v>48.2</v>
      </c>
      <c r="AA109" s="10" t="s">
        <v>3</v>
      </c>
      <c r="AB109" s="10">
        <v>0</v>
      </c>
      <c r="AC109" s="20">
        <v>0</v>
      </c>
      <c r="AD109" s="10" t="s">
        <v>44</v>
      </c>
      <c r="AE109" s="10" t="s">
        <v>211</v>
      </c>
      <c r="AF109" s="10" t="s">
        <v>95</v>
      </c>
      <c r="AG109" s="10">
        <v>5</v>
      </c>
      <c r="AH109" s="10">
        <v>0</v>
      </c>
      <c r="AI109" s="27">
        <f t="shared" si="22"/>
        <v>2</v>
      </c>
      <c r="AJ109" s="27"/>
      <c r="AK109" s="10">
        <v>1</v>
      </c>
      <c r="AL109" s="10">
        <v>653</v>
      </c>
      <c r="AM109" s="19"/>
      <c r="AN109" s="19"/>
      <c r="AO109" s="19">
        <v>0.41</v>
      </c>
      <c r="AP109" s="19">
        <f>Table1[[#This Row],[Y_Acryl_Fa]]/Table1[[#This Row],[X_Fa]]</f>
        <v>0.45655396210614457</v>
      </c>
      <c r="AQ109" s="19">
        <f>Table1[[#This Row],[Y_Acryl_Fa]]/Table1[[#This Row],[Ratio_Ac_Fa]]</f>
        <v>3.7437424892703852E-2</v>
      </c>
      <c r="AR109" s="19">
        <f>Table1[[#This Row],[STY_Acryl_mmolhg_manual]]*AY109/60/BA109</f>
        <v>0.18718712446351926</v>
      </c>
      <c r="AS109" s="28">
        <f t="shared" si="21"/>
        <v>0.94199999999999995</v>
      </c>
      <c r="AT109" s="29"/>
      <c r="AU109" s="10" t="s">
        <v>42</v>
      </c>
      <c r="AV109" s="19"/>
      <c r="AW109" s="10" t="s">
        <v>111</v>
      </c>
      <c r="AX109" s="10">
        <v>2018</v>
      </c>
      <c r="AY109" s="10">
        <v>3</v>
      </c>
      <c r="AZ109" s="10"/>
      <c r="BA109" s="20">
        <v>0.25161987041036721</v>
      </c>
      <c r="BB109" s="20">
        <v>1.2580993520518362</v>
      </c>
      <c r="BC109" s="20">
        <v>0.94199999999999995</v>
      </c>
      <c r="BD109" s="20">
        <v>0.94199999999999995</v>
      </c>
    </row>
    <row r="110" spans="1:56" s="54" customFormat="1">
      <c r="A110" s="10">
        <v>109</v>
      </c>
      <c r="B110" s="13">
        <v>0</v>
      </c>
      <c r="C110" s="10"/>
      <c r="D110" s="10"/>
      <c r="E110" s="27"/>
      <c r="F110" s="10"/>
      <c r="G110" s="10"/>
      <c r="H110" s="27"/>
      <c r="I110" s="10" t="s">
        <v>205</v>
      </c>
      <c r="J110" s="10">
        <v>1</v>
      </c>
      <c r="K110" s="10"/>
      <c r="L110" s="10"/>
      <c r="M110" s="10" t="s">
        <v>7</v>
      </c>
      <c r="N110" s="10">
        <v>1.05</v>
      </c>
      <c r="O110" s="10"/>
      <c r="P110" s="10"/>
      <c r="Q110" s="10" t="s">
        <v>30</v>
      </c>
      <c r="R110" s="10">
        <v>0.02</v>
      </c>
      <c r="S110" s="10"/>
      <c r="T110" s="10"/>
      <c r="U110" s="10"/>
      <c r="V110" s="10"/>
      <c r="W110" s="10"/>
      <c r="X110" s="10"/>
      <c r="Y110" s="50"/>
      <c r="Z110" s="50">
        <v>48.2</v>
      </c>
      <c r="AA110" s="10" t="s">
        <v>3</v>
      </c>
      <c r="AB110" s="10">
        <v>0</v>
      </c>
      <c r="AC110" s="20">
        <v>0</v>
      </c>
      <c r="AD110" s="11" t="s">
        <v>44</v>
      </c>
      <c r="AE110" s="10" t="s">
        <v>211</v>
      </c>
      <c r="AF110" s="10" t="s">
        <v>95</v>
      </c>
      <c r="AG110" s="10">
        <v>5</v>
      </c>
      <c r="AH110" s="10">
        <v>0</v>
      </c>
      <c r="AI110" s="27">
        <f t="shared" si="22"/>
        <v>2</v>
      </c>
      <c r="AJ110" s="27"/>
      <c r="AK110" s="10">
        <v>1</v>
      </c>
      <c r="AL110" s="10">
        <v>653</v>
      </c>
      <c r="AM110" s="19"/>
      <c r="AN110" s="19"/>
      <c r="AO110" s="19">
        <v>0.40500000000000003</v>
      </c>
      <c r="AP110" s="19">
        <f>Table1[[#This Row],[Y_Acryl_Fa]]/Table1[[#This Row],[X_Fa]]</f>
        <v>0.49751708790335375</v>
      </c>
      <c r="AQ110" s="19">
        <f>Table1[[#This Row],[Y_Acryl_Fa]]/Table1[[#This Row],[Ratio_Ac_Fa]]</f>
        <v>4.0298884120171657E-2</v>
      </c>
      <c r="AR110" s="19">
        <f>Table1[[#This Row],[STY_Acryl_mmolhg_manual]]*AY110/60/BA110</f>
        <v>0.20149442060085829</v>
      </c>
      <c r="AS110" s="28">
        <f t="shared" si="21"/>
        <v>1.0139999999999998</v>
      </c>
      <c r="AT110" s="29"/>
      <c r="AU110" s="10" t="s">
        <v>42</v>
      </c>
      <c r="AV110" s="19"/>
      <c r="AW110" s="10" t="s">
        <v>111</v>
      </c>
      <c r="AX110" s="10">
        <v>2018</v>
      </c>
      <c r="AY110" s="10">
        <v>3</v>
      </c>
      <c r="AZ110" s="10"/>
      <c r="BA110" s="20">
        <v>0.25161987041036721</v>
      </c>
      <c r="BB110" s="20">
        <v>1.2580993520518362</v>
      </c>
      <c r="BC110" s="20">
        <v>1.0139999999999998</v>
      </c>
      <c r="BD110" s="20">
        <v>1.0139999999999998</v>
      </c>
    </row>
    <row r="111" spans="1:56" s="54" customFormat="1">
      <c r="A111" s="10">
        <v>110</v>
      </c>
      <c r="B111" s="13">
        <v>0</v>
      </c>
      <c r="C111" s="10"/>
      <c r="D111" s="10"/>
      <c r="E111" s="27"/>
      <c r="F111" s="10"/>
      <c r="G111" s="10"/>
      <c r="H111" s="27"/>
      <c r="I111" s="10" t="s">
        <v>205</v>
      </c>
      <c r="J111" s="10">
        <v>1</v>
      </c>
      <c r="K111" s="10"/>
      <c r="L111" s="10"/>
      <c r="M111" s="10" t="s">
        <v>7</v>
      </c>
      <c r="N111" s="10">
        <v>1.05</v>
      </c>
      <c r="O111" s="10"/>
      <c r="P111" s="10"/>
      <c r="Q111" s="10" t="s">
        <v>37</v>
      </c>
      <c r="R111" s="10">
        <v>0.02</v>
      </c>
      <c r="S111" s="10"/>
      <c r="T111" s="10"/>
      <c r="U111" s="10"/>
      <c r="V111" s="10"/>
      <c r="W111" s="10"/>
      <c r="X111" s="10"/>
      <c r="Y111" s="50"/>
      <c r="Z111" s="50">
        <v>48.2</v>
      </c>
      <c r="AA111" s="10" t="s">
        <v>3</v>
      </c>
      <c r="AB111" s="10">
        <v>0</v>
      </c>
      <c r="AC111" s="20">
        <v>0</v>
      </c>
      <c r="AD111" s="11" t="s">
        <v>44</v>
      </c>
      <c r="AE111" s="10" t="s">
        <v>211</v>
      </c>
      <c r="AF111" s="10" t="s">
        <v>95</v>
      </c>
      <c r="AG111" s="10">
        <v>5</v>
      </c>
      <c r="AH111" s="10">
        <v>0</v>
      </c>
      <c r="AI111" s="27">
        <f t="shared" si="22"/>
        <v>2</v>
      </c>
      <c r="AJ111" s="27"/>
      <c r="AK111" s="10">
        <v>1</v>
      </c>
      <c r="AL111" s="10">
        <v>653</v>
      </c>
      <c r="AM111" s="19"/>
      <c r="AN111" s="19"/>
      <c r="AO111" s="19">
        <v>0.40200000000000002</v>
      </c>
      <c r="AP111" s="19">
        <f>Table1[[#This Row],[Y_Acryl_Fa]]/Table1[[#This Row],[X_Fa]]</f>
        <v>0.51605918903337378</v>
      </c>
      <c r="AQ111" s="19">
        <f>Table1[[#This Row],[Y_Acryl_Fa]]/Table1[[#This Row],[Ratio_Ac_Fa]]</f>
        <v>4.1491158798283259E-2</v>
      </c>
      <c r="AR111" s="19">
        <f>Table1[[#This Row],[STY_Acryl_mmolhg_manual]]*AY111/60/BA111</f>
        <v>0.20745579399141628</v>
      </c>
      <c r="AS111" s="28">
        <f t="shared" si="21"/>
        <v>1.044</v>
      </c>
      <c r="AT111" s="29"/>
      <c r="AU111" s="10" t="s">
        <v>42</v>
      </c>
      <c r="AV111" s="19"/>
      <c r="AW111" s="10" t="s">
        <v>111</v>
      </c>
      <c r="AX111" s="10">
        <v>2018</v>
      </c>
      <c r="AY111" s="10">
        <v>3</v>
      </c>
      <c r="AZ111" s="10"/>
      <c r="BA111" s="20">
        <v>0.25161987041036721</v>
      </c>
      <c r="BB111" s="20">
        <v>1.2580993520518362</v>
      </c>
      <c r="BC111" s="20">
        <v>1.044</v>
      </c>
      <c r="BD111" s="20">
        <v>1.044</v>
      </c>
    </row>
    <row r="112" spans="1:56" s="54" customFormat="1">
      <c r="A112" s="10">
        <v>111</v>
      </c>
      <c r="B112" s="13">
        <v>0</v>
      </c>
      <c r="C112" s="10"/>
      <c r="D112" s="10"/>
      <c r="E112" s="27"/>
      <c r="F112" s="10"/>
      <c r="G112" s="10"/>
      <c r="H112" s="27"/>
      <c r="I112" s="10" t="s">
        <v>205</v>
      </c>
      <c r="J112" s="10">
        <v>1</v>
      </c>
      <c r="K112" s="10"/>
      <c r="L112" s="10"/>
      <c r="M112" s="10" t="s">
        <v>7</v>
      </c>
      <c r="N112" s="10">
        <v>1.05</v>
      </c>
      <c r="O112" s="10"/>
      <c r="P112" s="10"/>
      <c r="Q112" s="10" t="s">
        <v>41</v>
      </c>
      <c r="R112" s="10">
        <v>0.02</v>
      </c>
      <c r="S112" s="10"/>
      <c r="T112" s="10"/>
      <c r="U112" s="10"/>
      <c r="V112" s="10"/>
      <c r="W112" s="10"/>
      <c r="X112" s="10"/>
      <c r="Y112" s="50">
        <v>8.4</v>
      </c>
      <c r="Z112" s="50">
        <v>48.2</v>
      </c>
      <c r="AA112" s="10" t="s">
        <v>3</v>
      </c>
      <c r="AB112" s="10">
        <v>0</v>
      </c>
      <c r="AC112" s="20">
        <v>0</v>
      </c>
      <c r="AD112" s="11" t="s">
        <v>44</v>
      </c>
      <c r="AE112" s="10" t="s">
        <v>211</v>
      </c>
      <c r="AF112" s="10" t="s">
        <v>95</v>
      </c>
      <c r="AG112" s="10">
        <v>5</v>
      </c>
      <c r="AH112" s="10">
        <v>0</v>
      </c>
      <c r="AI112" s="27">
        <f t="shared" si="22"/>
        <v>2</v>
      </c>
      <c r="AJ112" s="27"/>
      <c r="AK112" s="10">
        <v>1</v>
      </c>
      <c r="AL112" s="10">
        <v>653</v>
      </c>
      <c r="AM112" s="19"/>
      <c r="AN112" s="19"/>
      <c r="AO112" s="19">
        <v>0.45700000000000002</v>
      </c>
      <c r="AP112" s="19">
        <f>Table1[[#This Row],[Y_Acryl_Fa]]/Table1[[#This Row],[X_Fa]]</f>
        <v>0.48525840290756089</v>
      </c>
      <c r="AQ112" s="19">
        <f>Table1[[#This Row],[Y_Acryl_Fa]]/Table1[[#This Row],[Ratio_Ac_Fa]]</f>
        <v>4.4352618025751064E-2</v>
      </c>
      <c r="AR112" s="19">
        <f>Table1[[#This Row],[STY_Acryl_mmolhg_manual]]*AY112/60/BA112</f>
        <v>0.22176309012875534</v>
      </c>
      <c r="AS112" s="28">
        <f t="shared" si="21"/>
        <v>1.1160000000000001</v>
      </c>
      <c r="AT112" s="29">
        <v>1</v>
      </c>
      <c r="AU112" s="10" t="s">
        <v>42</v>
      </c>
      <c r="AV112" s="19"/>
      <c r="AW112" s="10" t="s">
        <v>111</v>
      </c>
      <c r="AX112" s="10">
        <v>2018</v>
      </c>
      <c r="AY112" s="10">
        <v>3</v>
      </c>
      <c r="AZ112" s="10"/>
      <c r="BA112" s="20">
        <v>0.25161987041036721</v>
      </c>
      <c r="BB112" s="20">
        <v>1.2580993520518362</v>
      </c>
      <c r="BC112" s="20">
        <v>1.1160000000000001</v>
      </c>
      <c r="BD112" s="20">
        <v>1.1160000000000001</v>
      </c>
    </row>
    <row r="113" spans="1:56" s="18" customFormat="1" ht="15.6" customHeight="1">
      <c r="A113" s="10">
        <v>112</v>
      </c>
      <c r="B113" s="13">
        <v>0.8</v>
      </c>
      <c r="C113" s="10" t="s">
        <v>10</v>
      </c>
      <c r="D113" s="10"/>
      <c r="E113" s="27">
        <v>1</v>
      </c>
      <c r="F113" s="10"/>
      <c r="G113" s="10"/>
      <c r="H113" s="27"/>
      <c r="I113" s="10" t="s">
        <v>9</v>
      </c>
      <c r="J113" s="10">
        <v>0.3</v>
      </c>
      <c r="K113" s="10"/>
      <c r="L113" s="10"/>
      <c r="M113" s="10" t="s">
        <v>7</v>
      </c>
      <c r="N113" s="10">
        <v>1</v>
      </c>
      <c r="O113" s="10"/>
      <c r="P113" s="10"/>
      <c r="Q113" s="10" t="s">
        <v>207</v>
      </c>
      <c r="R113" s="10">
        <v>3</v>
      </c>
      <c r="S113" s="10"/>
      <c r="T113" s="10"/>
      <c r="U113" s="10"/>
      <c r="V113" s="10"/>
      <c r="W113" s="10"/>
      <c r="X113" s="10"/>
      <c r="Y113" s="50"/>
      <c r="Z113" s="10"/>
      <c r="AA113" s="10" t="s">
        <v>21</v>
      </c>
      <c r="AB113" s="10" t="s">
        <v>311</v>
      </c>
      <c r="AC113" s="20">
        <v>0</v>
      </c>
      <c r="AD113" s="11" t="s">
        <v>43</v>
      </c>
      <c r="AE113" s="10" t="s">
        <v>210</v>
      </c>
      <c r="AF113" s="12" t="s">
        <v>95</v>
      </c>
      <c r="AG113" s="10">
        <v>1</v>
      </c>
      <c r="AH113" s="10">
        <v>0</v>
      </c>
      <c r="AI113" s="27"/>
      <c r="AJ113" s="27"/>
      <c r="AK113" s="10">
        <v>1</v>
      </c>
      <c r="AL113" s="10">
        <v>653</v>
      </c>
      <c r="AM113" s="19">
        <v>0.56999999999999995</v>
      </c>
      <c r="AN113" s="19">
        <v>0.88800000000000001</v>
      </c>
      <c r="AO113" s="19"/>
      <c r="AP113" s="19"/>
      <c r="AQ113" s="19">
        <f>Table1[[#This Row],[X_Ac]]*Table1[[#This Row],[S_Acryl_Ac]]</f>
        <v>0.50615999999999994</v>
      </c>
      <c r="AR113" s="19">
        <f>Table1[[#This Row],[Y_Acryl_Ac]]</f>
        <v>0.50615999999999994</v>
      </c>
      <c r="AS113" s="28"/>
      <c r="AT113" s="29"/>
      <c r="AU113" s="10" t="s">
        <v>79</v>
      </c>
      <c r="AV113" s="30" t="s">
        <v>78</v>
      </c>
      <c r="AW113" s="10" t="s">
        <v>133</v>
      </c>
      <c r="AX113" s="10">
        <v>2013</v>
      </c>
      <c r="AY113" s="10">
        <v>3.5</v>
      </c>
      <c r="AZ113" s="10"/>
      <c r="BA113" s="20"/>
      <c r="BB113" s="20"/>
      <c r="BC113" s="20"/>
      <c r="BD113" s="20"/>
    </row>
    <row r="114" spans="1:56" s="18" customFormat="1" ht="15.6" customHeight="1">
      <c r="A114" s="10">
        <v>113</v>
      </c>
      <c r="B114" s="13">
        <v>0.8</v>
      </c>
      <c r="C114" s="10" t="s">
        <v>10</v>
      </c>
      <c r="D114" s="10"/>
      <c r="E114" s="27">
        <v>1</v>
      </c>
      <c r="F114" s="10"/>
      <c r="G114" s="10"/>
      <c r="H114" s="27"/>
      <c r="I114" s="10" t="s">
        <v>205</v>
      </c>
      <c r="J114" s="10">
        <f>0.6*0.3</f>
        <v>0.18</v>
      </c>
      <c r="K114" s="10"/>
      <c r="L114" s="10"/>
      <c r="M114" s="10" t="s">
        <v>7</v>
      </c>
      <c r="N114" s="10">
        <v>1</v>
      </c>
      <c r="O114" s="10"/>
      <c r="P114" s="10"/>
      <c r="Q114" s="10" t="s">
        <v>207</v>
      </c>
      <c r="R114" s="10">
        <v>3</v>
      </c>
      <c r="S114" s="10"/>
      <c r="T114" s="10"/>
      <c r="U114" s="10" t="s">
        <v>9</v>
      </c>
      <c r="V114" s="10">
        <f>0.4*0.3</f>
        <v>0.12</v>
      </c>
      <c r="W114" s="10"/>
      <c r="X114" s="10"/>
      <c r="Y114" s="50"/>
      <c r="Z114" s="10"/>
      <c r="AA114" s="10" t="s">
        <v>21</v>
      </c>
      <c r="AB114" s="10" t="s">
        <v>311</v>
      </c>
      <c r="AC114" s="20">
        <v>0</v>
      </c>
      <c r="AD114" s="11" t="s">
        <v>43</v>
      </c>
      <c r="AE114" s="10" t="s">
        <v>210</v>
      </c>
      <c r="AF114" s="12" t="s">
        <v>95</v>
      </c>
      <c r="AG114" s="10">
        <v>1</v>
      </c>
      <c r="AH114" s="10">
        <v>0</v>
      </c>
      <c r="AI114" s="27"/>
      <c r="AJ114" s="27"/>
      <c r="AK114" s="10">
        <v>1</v>
      </c>
      <c r="AL114" s="10">
        <v>593</v>
      </c>
      <c r="AM114" s="19">
        <v>0.61099999999999999</v>
      </c>
      <c r="AN114" s="19">
        <v>0.93700000000000006</v>
      </c>
      <c r="AO114" s="19"/>
      <c r="AP114" s="19"/>
      <c r="AQ114" s="19">
        <f>Table1[[#This Row],[X_Ac]]*Table1[[#This Row],[S_Acryl_Ac]]</f>
        <v>0.57250699999999999</v>
      </c>
      <c r="AR114" s="19">
        <f>Table1[[#This Row],[Y_Acryl_Ac]]</f>
        <v>0.57250699999999999</v>
      </c>
      <c r="AS114" s="28"/>
      <c r="AT114" s="16"/>
      <c r="AU114" s="10" t="s">
        <v>134</v>
      </c>
      <c r="AV114" s="30"/>
      <c r="AW114" s="10" t="s">
        <v>133</v>
      </c>
      <c r="AX114" s="10">
        <v>2015</v>
      </c>
      <c r="AY114" s="10">
        <v>3.5</v>
      </c>
      <c r="AZ114" s="10"/>
      <c r="BA114" s="20"/>
      <c r="BB114" s="20"/>
      <c r="BC114" s="20"/>
      <c r="BD114" s="20"/>
    </row>
    <row r="115" spans="1:56" s="18" customFormat="1">
      <c r="A115" s="10">
        <v>114</v>
      </c>
      <c r="B115" s="13">
        <v>0</v>
      </c>
      <c r="C115" s="10"/>
      <c r="D115" s="10"/>
      <c r="E115" s="27"/>
      <c r="F115" s="10"/>
      <c r="G115" s="10"/>
      <c r="H115" s="27"/>
      <c r="I115" s="10" t="s">
        <v>11</v>
      </c>
      <c r="J115" s="10">
        <v>1</v>
      </c>
      <c r="K115" s="10"/>
      <c r="L115" s="10"/>
      <c r="M115" s="10" t="s">
        <v>7</v>
      </c>
      <c r="N115" s="10">
        <v>2</v>
      </c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50">
        <v>86</v>
      </c>
      <c r="Z115" s="50"/>
      <c r="AA115" s="10" t="s">
        <v>136</v>
      </c>
      <c r="AB115" s="10" t="s">
        <v>311</v>
      </c>
      <c r="AC115" s="20">
        <v>0</v>
      </c>
      <c r="AD115" s="11" t="s">
        <v>43</v>
      </c>
      <c r="AE115" s="10" t="s">
        <v>210</v>
      </c>
      <c r="AF115" s="12" t="s">
        <v>95</v>
      </c>
      <c r="AG115" s="10">
        <v>1</v>
      </c>
      <c r="AH115" s="10">
        <v>0</v>
      </c>
      <c r="AI115" s="27"/>
      <c r="AJ115" s="27"/>
      <c r="AK115" s="10">
        <v>1</v>
      </c>
      <c r="AL115" s="10">
        <v>623</v>
      </c>
      <c r="AM115" s="19">
        <v>0.4415</v>
      </c>
      <c r="AN115" s="19">
        <v>0.31140000000000001</v>
      </c>
      <c r="AO115" s="19"/>
      <c r="AP115" s="19"/>
      <c r="AQ115" s="19">
        <f>Table1[[#This Row],[X_Ac]]*Table1[[#This Row],[S_Acryl_Ac]]</f>
        <v>0.1374831</v>
      </c>
      <c r="AR115" s="19">
        <f>Table1[[#This Row],[Y_Acryl_Ac]]</f>
        <v>0.1374831</v>
      </c>
      <c r="AS115" s="28"/>
      <c r="AT115" s="16"/>
      <c r="AU115" s="10" t="s">
        <v>135</v>
      </c>
      <c r="AV115" s="19" t="s">
        <v>137</v>
      </c>
      <c r="AW115" s="10" t="s">
        <v>133</v>
      </c>
      <c r="AX115" s="10">
        <v>2017</v>
      </c>
      <c r="AY115" s="10">
        <v>3.5</v>
      </c>
      <c r="AZ115" s="10"/>
      <c r="BA115" s="20"/>
      <c r="BB115" s="20"/>
      <c r="BC115" s="20"/>
      <c r="BD115" s="20"/>
    </row>
    <row r="116" spans="1:56" s="18" customFormat="1">
      <c r="A116" s="10">
        <v>115</v>
      </c>
      <c r="B116" s="13">
        <v>0</v>
      </c>
      <c r="C116" s="10"/>
      <c r="D116" s="10"/>
      <c r="E116" s="27"/>
      <c r="F116" s="10"/>
      <c r="G116" s="10"/>
      <c r="H116" s="27"/>
      <c r="I116" s="10" t="s">
        <v>11</v>
      </c>
      <c r="J116" s="10">
        <v>1</v>
      </c>
      <c r="K116" s="10"/>
      <c r="L116" s="10"/>
      <c r="M116" s="10" t="s">
        <v>7</v>
      </c>
      <c r="N116" s="10">
        <v>2</v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50">
        <v>107</v>
      </c>
      <c r="Z116" s="50"/>
      <c r="AA116" s="10" t="s">
        <v>136</v>
      </c>
      <c r="AB116" s="10" t="s">
        <v>311</v>
      </c>
      <c r="AC116" s="20">
        <v>0</v>
      </c>
      <c r="AD116" s="11" t="s">
        <v>43</v>
      </c>
      <c r="AE116" s="10" t="s">
        <v>210</v>
      </c>
      <c r="AF116" s="12" t="s">
        <v>95</v>
      </c>
      <c r="AG116" s="10">
        <v>1</v>
      </c>
      <c r="AH116" s="10">
        <v>0</v>
      </c>
      <c r="AI116" s="27"/>
      <c r="AJ116" s="27"/>
      <c r="AK116" s="10">
        <v>1</v>
      </c>
      <c r="AL116" s="10">
        <v>623</v>
      </c>
      <c r="AM116" s="19">
        <v>0.76</v>
      </c>
      <c r="AN116" s="19">
        <v>0.8</v>
      </c>
      <c r="AO116" s="19"/>
      <c r="AP116" s="19"/>
      <c r="AQ116" s="19">
        <f>Table1[[#This Row],[X_Ac]]*Table1[[#This Row],[S_Acryl_Ac]]</f>
        <v>0.6080000000000001</v>
      </c>
      <c r="AR116" s="19">
        <f>Table1[[#This Row],[Y_Acryl_Ac]]</f>
        <v>0.6080000000000001</v>
      </c>
      <c r="AS116" s="28"/>
      <c r="AT116" s="16"/>
      <c r="AU116" s="10" t="s">
        <v>135</v>
      </c>
      <c r="AV116" s="19" t="s">
        <v>137</v>
      </c>
      <c r="AW116" s="10" t="s">
        <v>133</v>
      </c>
      <c r="AX116" s="10">
        <v>2017</v>
      </c>
      <c r="AY116" s="10">
        <v>3.5</v>
      </c>
      <c r="AZ116" s="10"/>
      <c r="BA116" s="20"/>
      <c r="BB116" s="20"/>
      <c r="BC116" s="20"/>
      <c r="BD116" s="20"/>
    </row>
    <row r="117" spans="1:56" s="18" customFormat="1">
      <c r="A117" s="10">
        <v>116</v>
      </c>
      <c r="B117" s="13">
        <v>0</v>
      </c>
      <c r="C117" s="10"/>
      <c r="D117" s="10"/>
      <c r="E117" s="27"/>
      <c r="F117" s="10"/>
      <c r="G117" s="10"/>
      <c r="H117" s="27"/>
      <c r="I117" s="10" t="s">
        <v>11</v>
      </c>
      <c r="J117" s="10">
        <v>0.6</v>
      </c>
      <c r="K117" s="10"/>
      <c r="L117" s="10"/>
      <c r="M117" s="10" t="s">
        <v>7</v>
      </c>
      <c r="N117" s="10">
        <v>2</v>
      </c>
      <c r="O117" s="10"/>
      <c r="P117" s="10"/>
      <c r="Q117" s="10" t="s">
        <v>205</v>
      </c>
      <c r="R117" s="10">
        <v>0.4</v>
      </c>
      <c r="S117" s="10"/>
      <c r="T117" s="10"/>
      <c r="U117" s="10"/>
      <c r="V117" s="10"/>
      <c r="W117" s="10"/>
      <c r="X117" s="10"/>
      <c r="Y117" s="50">
        <v>70</v>
      </c>
      <c r="Z117" s="50"/>
      <c r="AA117" s="10" t="s">
        <v>16</v>
      </c>
      <c r="AB117" s="10" t="s">
        <v>311</v>
      </c>
      <c r="AC117" s="20">
        <v>0</v>
      </c>
      <c r="AD117" s="11" t="s">
        <v>43</v>
      </c>
      <c r="AE117" s="10" t="s">
        <v>210</v>
      </c>
      <c r="AF117" s="12" t="s">
        <v>95</v>
      </c>
      <c r="AG117" s="10">
        <v>1</v>
      </c>
      <c r="AH117" s="10">
        <v>0</v>
      </c>
      <c r="AI117" s="27"/>
      <c r="AJ117" s="27"/>
      <c r="AK117" s="10">
        <v>1</v>
      </c>
      <c r="AL117" s="10">
        <v>623</v>
      </c>
      <c r="AM117" s="19">
        <v>0.5</v>
      </c>
      <c r="AN117" s="19">
        <v>0.61560000000000004</v>
      </c>
      <c r="AO117" s="19"/>
      <c r="AP117" s="19"/>
      <c r="AQ117" s="19">
        <v>0.31</v>
      </c>
      <c r="AR117" s="19">
        <f>Table1[[#This Row],[Y_Acryl_Ac]]</f>
        <v>0.31</v>
      </c>
      <c r="AS117" s="28"/>
      <c r="AT117" s="16"/>
      <c r="AU117" s="10" t="s">
        <v>135</v>
      </c>
      <c r="AV117" s="19" t="s">
        <v>137</v>
      </c>
      <c r="AW117" s="10" t="s">
        <v>133</v>
      </c>
      <c r="AX117" s="10">
        <v>2017</v>
      </c>
      <c r="AY117" s="10">
        <v>3.5</v>
      </c>
      <c r="AZ117" s="10"/>
      <c r="BA117" s="20"/>
      <c r="BB117" s="20"/>
      <c r="BC117" s="20"/>
      <c r="BD117" s="20"/>
    </row>
    <row r="118" spans="1:56" s="18" customFormat="1">
      <c r="A118" s="10">
        <v>117</v>
      </c>
      <c r="B118" s="13">
        <v>0</v>
      </c>
      <c r="C118" s="10"/>
      <c r="D118" s="10"/>
      <c r="E118" s="27"/>
      <c r="F118" s="10"/>
      <c r="G118" s="10"/>
      <c r="H118" s="27"/>
      <c r="I118" s="10" t="s">
        <v>11</v>
      </c>
      <c r="J118" s="10">
        <v>0.6</v>
      </c>
      <c r="K118" s="10"/>
      <c r="L118" s="10"/>
      <c r="M118" s="10" t="s">
        <v>7</v>
      </c>
      <c r="N118" s="10">
        <v>2</v>
      </c>
      <c r="O118" s="10"/>
      <c r="P118" s="10"/>
      <c r="Q118" s="10" t="s">
        <v>205</v>
      </c>
      <c r="R118" s="10">
        <v>0.4</v>
      </c>
      <c r="S118" s="10"/>
      <c r="T118" s="10"/>
      <c r="U118" s="10"/>
      <c r="V118" s="10"/>
      <c r="W118" s="10"/>
      <c r="X118" s="10"/>
      <c r="Y118" s="50">
        <v>26</v>
      </c>
      <c r="Z118" s="50"/>
      <c r="AA118" s="10" t="s">
        <v>130</v>
      </c>
      <c r="AB118" s="10" t="s">
        <v>311</v>
      </c>
      <c r="AC118" s="20">
        <v>0</v>
      </c>
      <c r="AD118" s="11" t="s">
        <v>43</v>
      </c>
      <c r="AE118" s="10" t="s">
        <v>210</v>
      </c>
      <c r="AF118" s="12" t="s">
        <v>95</v>
      </c>
      <c r="AG118" s="10">
        <v>1</v>
      </c>
      <c r="AH118" s="10">
        <v>0</v>
      </c>
      <c r="AI118" s="27"/>
      <c r="AJ118" s="27"/>
      <c r="AK118" s="10">
        <v>1</v>
      </c>
      <c r="AL118" s="10">
        <v>623</v>
      </c>
      <c r="AM118" s="19">
        <v>0.99</v>
      </c>
      <c r="AN118" s="19">
        <v>0.02</v>
      </c>
      <c r="AO118" s="19"/>
      <c r="AP118" s="19"/>
      <c r="AQ118" s="19">
        <f>Table1[[#This Row],[X_Ac]]*Table1[[#This Row],[S_Acryl_Ac]]</f>
        <v>1.9800000000000002E-2</v>
      </c>
      <c r="AR118" s="19">
        <f>Table1[[#This Row],[Y_Acryl_Ac]]</f>
        <v>1.9800000000000002E-2</v>
      </c>
      <c r="AS118" s="28"/>
      <c r="AT118" s="16"/>
      <c r="AU118" s="10" t="s">
        <v>135</v>
      </c>
      <c r="AV118" s="19" t="s">
        <v>137</v>
      </c>
      <c r="AW118" s="10" t="s">
        <v>133</v>
      </c>
      <c r="AX118" s="10">
        <v>2017</v>
      </c>
      <c r="AY118" s="10">
        <v>3.5</v>
      </c>
      <c r="AZ118" s="10"/>
      <c r="BA118" s="20"/>
      <c r="BB118" s="20"/>
      <c r="BC118" s="20"/>
      <c r="BD118" s="20"/>
    </row>
    <row r="119" spans="1:56" s="18" customFormat="1">
      <c r="A119" s="10">
        <v>118</v>
      </c>
      <c r="B119" s="13">
        <v>0</v>
      </c>
      <c r="C119" s="10"/>
      <c r="D119" s="10"/>
      <c r="E119" s="27"/>
      <c r="F119" s="10"/>
      <c r="G119" s="10"/>
      <c r="H119" s="27"/>
      <c r="I119" s="10" t="s">
        <v>11</v>
      </c>
      <c r="J119" s="10">
        <v>0.6</v>
      </c>
      <c r="K119" s="10"/>
      <c r="L119" s="10"/>
      <c r="M119" s="10" t="s">
        <v>7</v>
      </c>
      <c r="N119" s="10">
        <v>2</v>
      </c>
      <c r="O119" s="10"/>
      <c r="P119" s="10"/>
      <c r="Q119" s="10" t="s">
        <v>205</v>
      </c>
      <c r="R119" s="10">
        <v>0.4</v>
      </c>
      <c r="S119" s="10"/>
      <c r="T119" s="10"/>
      <c r="U119" s="10"/>
      <c r="V119" s="10"/>
      <c r="W119" s="10"/>
      <c r="X119" s="10"/>
      <c r="Y119" s="50">
        <v>95</v>
      </c>
      <c r="Z119" s="50"/>
      <c r="AA119" s="10" t="s">
        <v>129</v>
      </c>
      <c r="AB119" s="10" t="s">
        <v>311</v>
      </c>
      <c r="AC119" s="20">
        <v>0</v>
      </c>
      <c r="AD119" s="11" t="s">
        <v>43</v>
      </c>
      <c r="AE119" s="10" t="s">
        <v>210</v>
      </c>
      <c r="AF119" s="12" t="s">
        <v>95</v>
      </c>
      <c r="AG119" s="10">
        <v>1</v>
      </c>
      <c r="AH119" s="10">
        <v>0</v>
      </c>
      <c r="AI119" s="27"/>
      <c r="AJ119" s="27"/>
      <c r="AK119" s="10">
        <v>1</v>
      </c>
      <c r="AL119" s="10">
        <v>623</v>
      </c>
      <c r="AM119" s="19">
        <v>0.56999999999999995</v>
      </c>
      <c r="AN119" s="19">
        <v>0.50800000000000001</v>
      </c>
      <c r="AO119" s="19"/>
      <c r="AP119" s="19"/>
      <c r="AQ119" s="19">
        <f>Table1[[#This Row],[X_Ac]]*Table1[[#This Row],[S_Acryl_Ac]]</f>
        <v>0.28955999999999998</v>
      </c>
      <c r="AR119" s="19">
        <f>Table1[[#This Row],[Y_Acryl_Ac]]</f>
        <v>0.28955999999999998</v>
      </c>
      <c r="AS119" s="28"/>
      <c r="AT119" s="16"/>
      <c r="AU119" s="10" t="s">
        <v>135</v>
      </c>
      <c r="AV119" s="19" t="s">
        <v>137</v>
      </c>
      <c r="AW119" s="10" t="s">
        <v>133</v>
      </c>
      <c r="AX119" s="10">
        <v>2017</v>
      </c>
      <c r="AY119" s="10">
        <v>3.5</v>
      </c>
      <c r="AZ119" s="10"/>
      <c r="BA119" s="20"/>
      <c r="BB119" s="20"/>
      <c r="BC119" s="20"/>
      <c r="BD119" s="20"/>
    </row>
    <row r="120" spans="1:56" s="18" customFormat="1">
      <c r="A120" s="10">
        <v>119</v>
      </c>
      <c r="B120" s="13">
        <v>0</v>
      </c>
      <c r="C120" s="10"/>
      <c r="D120" s="10"/>
      <c r="E120" s="27"/>
      <c r="F120" s="10"/>
      <c r="G120" s="10"/>
      <c r="H120" s="27"/>
      <c r="I120" s="10" t="s">
        <v>11</v>
      </c>
      <c r="J120" s="10">
        <v>1</v>
      </c>
      <c r="K120" s="10"/>
      <c r="L120" s="10"/>
      <c r="M120" s="10" t="s">
        <v>7</v>
      </c>
      <c r="N120" s="10">
        <v>3</v>
      </c>
      <c r="O120" s="10"/>
      <c r="P120" s="10"/>
      <c r="Q120" s="10" t="s">
        <v>112</v>
      </c>
      <c r="R120" s="10">
        <v>0.02</v>
      </c>
      <c r="S120" s="10"/>
      <c r="T120" s="10"/>
      <c r="U120" s="10"/>
      <c r="V120" s="10"/>
      <c r="W120" s="10"/>
      <c r="X120" s="10"/>
      <c r="Y120" s="50">
        <v>109</v>
      </c>
      <c r="Z120" s="50"/>
      <c r="AA120" s="10" t="s">
        <v>128</v>
      </c>
      <c r="AB120" s="10" t="s">
        <v>311</v>
      </c>
      <c r="AC120" s="20">
        <v>0</v>
      </c>
      <c r="AD120" s="11" t="s">
        <v>43</v>
      </c>
      <c r="AE120" s="10" t="s">
        <v>210</v>
      </c>
      <c r="AF120" s="12" t="s">
        <v>95</v>
      </c>
      <c r="AG120" s="10">
        <v>1</v>
      </c>
      <c r="AH120" s="10">
        <v>0</v>
      </c>
      <c r="AI120" s="27"/>
      <c r="AJ120" s="27"/>
      <c r="AK120" s="10">
        <v>1</v>
      </c>
      <c r="AL120" s="10">
        <v>623</v>
      </c>
      <c r="AM120" s="19">
        <v>0.26</v>
      </c>
      <c r="AN120" s="19">
        <v>0.04</v>
      </c>
      <c r="AO120" s="19"/>
      <c r="AP120" s="19"/>
      <c r="AQ120" s="19">
        <f>Table1[[#This Row],[X_Ac]]*Table1[[#This Row],[S_Acryl_Ac]]</f>
        <v>1.0400000000000001E-2</v>
      </c>
      <c r="AR120" s="19">
        <f>Table1[[#This Row],[Y_Acryl_Ac]]</f>
        <v>1.0400000000000001E-2</v>
      </c>
      <c r="AS120" s="28"/>
      <c r="AT120" s="29"/>
      <c r="AU120" s="10" t="s">
        <v>33</v>
      </c>
      <c r="AV120" s="19" t="s">
        <v>34</v>
      </c>
      <c r="AW120" s="10" t="s">
        <v>133</v>
      </c>
      <c r="AX120" s="10">
        <v>2018</v>
      </c>
      <c r="AY120" s="10">
        <v>2.5</v>
      </c>
      <c r="AZ120" s="10"/>
      <c r="BA120" s="20"/>
      <c r="BB120" s="20"/>
      <c r="BC120" s="20"/>
      <c r="BD120" s="20"/>
    </row>
    <row r="121" spans="1:56" s="18" customFormat="1">
      <c r="A121" s="10">
        <v>120</v>
      </c>
      <c r="B121" s="13">
        <v>0</v>
      </c>
      <c r="C121" s="10"/>
      <c r="D121" s="10"/>
      <c r="E121" s="27"/>
      <c r="F121" s="10"/>
      <c r="G121" s="10"/>
      <c r="H121" s="27"/>
      <c r="I121" s="10" t="s">
        <v>11</v>
      </c>
      <c r="J121" s="10">
        <v>1</v>
      </c>
      <c r="K121" s="10"/>
      <c r="L121" s="10"/>
      <c r="M121" s="10" t="s">
        <v>7</v>
      </c>
      <c r="N121" s="10">
        <v>3</v>
      </c>
      <c r="O121" s="10"/>
      <c r="P121" s="10"/>
      <c r="Q121" s="10" t="s">
        <v>112</v>
      </c>
      <c r="R121" s="10">
        <v>0.02</v>
      </c>
      <c r="S121" s="10"/>
      <c r="T121" s="10"/>
      <c r="U121" s="10"/>
      <c r="V121" s="10"/>
      <c r="W121" s="10"/>
      <c r="X121" s="10"/>
      <c r="Y121" s="50">
        <v>22</v>
      </c>
      <c r="Z121" s="50"/>
      <c r="AA121" s="10" t="s">
        <v>130</v>
      </c>
      <c r="AB121" s="10" t="s">
        <v>311</v>
      </c>
      <c r="AC121" s="20">
        <v>0</v>
      </c>
      <c r="AD121" s="11" t="s">
        <v>43</v>
      </c>
      <c r="AE121" s="10" t="s">
        <v>210</v>
      </c>
      <c r="AF121" s="12" t="s">
        <v>95</v>
      </c>
      <c r="AG121" s="10">
        <v>1</v>
      </c>
      <c r="AH121" s="10">
        <v>0</v>
      </c>
      <c r="AI121" s="27"/>
      <c r="AJ121" s="27"/>
      <c r="AK121" s="10">
        <v>1</v>
      </c>
      <c r="AL121" s="10">
        <v>653</v>
      </c>
      <c r="AM121" s="19">
        <v>0.51</v>
      </c>
      <c r="AN121" s="19">
        <v>0.7</v>
      </c>
      <c r="AO121" s="19"/>
      <c r="AP121" s="19"/>
      <c r="AQ121" s="19">
        <f>Table1[[#This Row],[X_Ac]]*Table1[[#This Row],[S_Acryl_Ac]]</f>
        <v>0.35699999999999998</v>
      </c>
      <c r="AR121" s="19">
        <f>Table1[[#This Row],[Y_Acryl_Ac]]</f>
        <v>0.35699999999999998</v>
      </c>
      <c r="AS121" s="28"/>
      <c r="AT121" s="16"/>
      <c r="AU121" s="10" t="s">
        <v>33</v>
      </c>
      <c r="AV121" s="19" t="s">
        <v>34</v>
      </c>
      <c r="AW121" s="10" t="s">
        <v>133</v>
      </c>
      <c r="AX121" s="10">
        <v>2018</v>
      </c>
      <c r="AY121" s="10">
        <v>2.5</v>
      </c>
      <c r="AZ121" s="10"/>
      <c r="BA121" s="20"/>
      <c r="BB121" s="20"/>
      <c r="BC121" s="20"/>
      <c r="BD121" s="20"/>
    </row>
    <row r="122" spans="1:56" s="18" customFormat="1">
      <c r="A122" s="10">
        <v>121</v>
      </c>
      <c r="B122" s="13">
        <v>0</v>
      </c>
      <c r="C122" s="10"/>
      <c r="D122" s="10"/>
      <c r="E122" s="27"/>
      <c r="F122" s="10"/>
      <c r="G122" s="10"/>
      <c r="H122" s="27"/>
      <c r="I122" s="10" t="s">
        <v>11</v>
      </c>
      <c r="J122" s="10">
        <v>1</v>
      </c>
      <c r="K122" s="10"/>
      <c r="L122" s="10"/>
      <c r="M122" s="10" t="s">
        <v>7</v>
      </c>
      <c r="N122" s="10">
        <v>3</v>
      </c>
      <c r="O122" s="10"/>
      <c r="P122" s="10"/>
      <c r="Q122" s="10" t="s">
        <v>112</v>
      </c>
      <c r="R122" s="10">
        <v>0.02</v>
      </c>
      <c r="S122" s="10"/>
      <c r="T122" s="10"/>
      <c r="U122" s="10"/>
      <c r="V122" s="10"/>
      <c r="W122" s="10"/>
      <c r="X122" s="10"/>
      <c r="Y122" s="50">
        <v>47</v>
      </c>
      <c r="Z122" s="50"/>
      <c r="AA122" s="10" t="s">
        <v>131</v>
      </c>
      <c r="AB122" s="10" t="s">
        <v>311</v>
      </c>
      <c r="AC122" s="20">
        <v>0</v>
      </c>
      <c r="AD122" s="10" t="s">
        <v>43</v>
      </c>
      <c r="AE122" s="10" t="s">
        <v>210</v>
      </c>
      <c r="AF122" s="12" t="s">
        <v>95</v>
      </c>
      <c r="AG122" s="10">
        <v>1</v>
      </c>
      <c r="AH122" s="10">
        <v>0</v>
      </c>
      <c r="AI122" s="27"/>
      <c r="AJ122" s="27"/>
      <c r="AK122" s="10">
        <v>1</v>
      </c>
      <c r="AL122" s="10">
        <v>653</v>
      </c>
      <c r="AM122" s="19">
        <v>0.56000000000000005</v>
      </c>
      <c r="AN122" s="19">
        <v>0.8</v>
      </c>
      <c r="AO122" s="19"/>
      <c r="AP122" s="19"/>
      <c r="AQ122" s="19">
        <f>Table1[[#This Row],[X_Ac]]*Table1[[#This Row],[S_Acryl_Ac]]</f>
        <v>0.44800000000000006</v>
      </c>
      <c r="AR122" s="19">
        <f>Table1[[#This Row],[Y_Acryl_Ac]]</f>
        <v>0.44800000000000006</v>
      </c>
      <c r="AS122" s="28"/>
      <c r="AT122" s="16"/>
      <c r="AU122" s="10" t="s">
        <v>33</v>
      </c>
      <c r="AV122" s="19" t="s">
        <v>34</v>
      </c>
      <c r="AW122" s="10" t="s">
        <v>133</v>
      </c>
      <c r="AX122" s="10">
        <v>2018</v>
      </c>
      <c r="AY122" s="10">
        <v>2.5</v>
      </c>
      <c r="AZ122" s="10"/>
      <c r="BA122" s="20"/>
      <c r="BB122" s="20"/>
      <c r="BC122" s="20"/>
      <c r="BD122" s="20"/>
    </row>
    <row r="123" spans="1:56" s="18" customFormat="1">
      <c r="A123" s="10">
        <v>122</v>
      </c>
      <c r="B123" s="13">
        <v>0</v>
      </c>
      <c r="C123" s="10"/>
      <c r="D123" s="10"/>
      <c r="E123" s="27"/>
      <c r="F123" s="10"/>
      <c r="G123" s="10"/>
      <c r="H123" s="27"/>
      <c r="I123" s="10" t="s">
        <v>11</v>
      </c>
      <c r="J123" s="10">
        <v>1</v>
      </c>
      <c r="K123" s="10"/>
      <c r="L123" s="10"/>
      <c r="M123" s="10" t="s">
        <v>7</v>
      </c>
      <c r="N123" s="10">
        <v>3</v>
      </c>
      <c r="O123" s="10"/>
      <c r="P123" s="10"/>
      <c r="Q123" s="10" t="s">
        <v>112</v>
      </c>
      <c r="R123" s="10">
        <v>0.02</v>
      </c>
      <c r="S123" s="10"/>
      <c r="T123" s="10"/>
      <c r="U123" s="10"/>
      <c r="V123" s="10"/>
      <c r="W123" s="10"/>
      <c r="X123" s="10"/>
      <c r="Y123" s="50">
        <v>107</v>
      </c>
      <c r="Z123" s="50"/>
      <c r="AA123" s="10" t="s">
        <v>129</v>
      </c>
      <c r="AB123" s="10" t="s">
        <v>311</v>
      </c>
      <c r="AC123" s="20">
        <v>0</v>
      </c>
      <c r="AD123" s="10" t="s">
        <v>43</v>
      </c>
      <c r="AE123" s="10" t="s">
        <v>210</v>
      </c>
      <c r="AF123" s="12" t="s">
        <v>95</v>
      </c>
      <c r="AG123" s="10">
        <v>1</v>
      </c>
      <c r="AH123" s="10">
        <v>0</v>
      </c>
      <c r="AI123" s="27"/>
      <c r="AJ123" s="27"/>
      <c r="AK123" s="10">
        <v>1</v>
      </c>
      <c r="AL123" s="10">
        <v>623</v>
      </c>
      <c r="AM123" s="19">
        <v>0.76</v>
      </c>
      <c r="AN123" s="19">
        <v>0.8</v>
      </c>
      <c r="AO123" s="19"/>
      <c r="AP123" s="19"/>
      <c r="AQ123" s="19">
        <f>Table1[[#This Row],[X_Ac]]*Table1[[#This Row],[S_Acryl_Ac]]</f>
        <v>0.6080000000000001</v>
      </c>
      <c r="AR123" s="19">
        <f>Table1[[#This Row],[Y_Acryl_Ac]]</f>
        <v>0.6080000000000001</v>
      </c>
      <c r="AS123" s="28"/>
      <c r="AT123" s="29"/>
      <c r="AU123" s="10" t="s">
        <v>33</v>
      </c>
      <c r="AV123" s="19" t="s">
        <v>132</v>
      </c>
      <c r="AW123" s="10" t="s">
        <v>133</v>
      </c>
      <c r="AX123" s="10">
        <v>2018</v>
      </c>
      <c r="AY123" s="10">
        <v>2.5</v>
      </c>
      <c r="AZ123" s="10"/>
      <c r="BA123" s="20"/>
      <c r="BB123" s="20"/>
      <c r="BC123" s="20"/>
      <c r="BD123" s="20"/>
    </row>
    <row r="124" spans="1:56" s="18" customFormat="1" ht="15.6" customHeight="1">
      <c r="A124" s="10">
        <v>123</v>
      </c>
      <c r="B124" s="13">
        <v>0.8</v>
      </c>
      <c r="C124" s="10" t="s">
        <v>10</v>
      </c>
      <c r="D124" s="10"/>
      <c r="E124" s="27">
        <v>1</v>
      </c>
      <c r="F124" s="10"/>
      <c r="G124" s="10"/>
      <c r="H124" s="27"/>
      <c r="I124" s="10" t="s">
        <v>205</v>
      </c>
      <c r="J124" s="10">
        <v>0.18</v>
      </c>
      <c r="K124" s="10"/>
      <c r="L124" s="10"/>
      <c r="M124" s="10" t="s">
        <v>7</v>
      </c>
      <c r="N124" s="10">
        <v>1</v>
      </c>
      <c r="O124" s="10"/>
      <c r="P124" s="10"/>
      <c r="Q124" s="10" t="s">
        <v>207</v>
      </c>
      <c r="R124" s="10">
        <v>3</v>
      </c>
      <c r="S124" s="10"/>
      <c r="T124" s="10"/>
      <c r="U124" s="10" t="s">
        <v>9</v>
      </c>
      <c r="V124" s="10">
        <v>0.12</v>
      </c>
      <c r="W124" s="10"/>
      <c r="X124" s="10"/>
      <c r="Y124" s="50">
        <v>238</v>
      </c>
      <c r="Z124" s="10">
        <v>365</v>
      </c>
      <c r="AA124" s="10" t="s">
        <v>21</v>
      </c>
      <c r="AB124" s="10" t="s">
        <v>311</v>
      </c>
      <c r="AC124" s="20">
        <v>0</v>
      </c>
      <c r="AD124" s="10" t="s">
        <v>43</v>
      </c>
      <c r="AE124" s="10" t="s">
        <v>210</v>
      </c>
      <c r="AF124" s="12" t="s">
        <v>95</v>
      </c>
      <c r="AG124" s="10">
        <v>1</v>
      </c>
      <c r="AH124" s="10">
        <v>0</v>
      </c>
      <c r="AI124" s="27"/>
      <c r="AJ124" s="27"/>
      <c r="AK124" s="10">
        <v>1</v>
      </c>
      <c r="AL124" s="10">
        <v>653</v>
      </c>
      <c r="AM124" s="19">
        <v>0.63329999999999997</v>
      </c>
      <c r="AN124" s="19">
        <v>0.9</v>
      </c>
      <c r="AO124" s="19"/>
      <c r="AP124" s="19"/>
      <c r="AQ124" s="19">
        <f>Table1[[#This Row],[X_Ac]]*Table1[[#This Row],[S_Acryl_Ac]]</f>
        <v>0.56996999999999998</v>
      </c>
      <c r="AR124" s="19">
        <f>Table1[[#This Row],[Y_Acryl_Ac]]</f>
        <v>0.56996999999999998</v>
      </c>
      <c r="AS124" s="28"/>
      <c r="AT124" s="29"/>
      <c r="AU124" s="10" t="s">
        <v>22</v>
      </c>
      <c r="AV124" s="30" t="s">
        <v>78</v>
      </c>
      <c r="AW124" s="10" t="s">
        <v>133</v>
      </c>
      <c r="AX124" s="10">
        <v>2020</v>
      </c>
      <c r="AY124" s="10">
        <v>3.5</v>
      </c>
      <c r="AZ124" s="10"/>
      <c r="BA124" s="20"/>
      <c r="BB124" s="20"/>
      <c r="BC124" s="20"/>
      <c r="BD124" s="20"/>
    </row>
    <row r="125" spans="1:56" s="18" customFormat="1" ht="15.6" customHeight="1">
      <c r="A125" s="10">
        <v>124</v>
      </c>
      <c r="B125" s="13">
        <v>0.8</v>
      </c>
      <c r="C125" s="10" t="s">
        <v>10</v>
      </c>
      <c r="D125" s="10"/>
      <c r="E125" s="27">
        <v>1</v>
      </c>
      <c r="F125" s="10"/>
      <c r="G125" s="10"/>
      <c r="H125" s="27"/>
      <c r="I125" s="10" t="s">
        <v>205</v>
      </c>
      <c r="J125" s="10">
        <v>0.18</v>
      </c>
      <c r="K125" s="10"/>
      <c r="L125" s="10"/>
      <c r="M125" s="10" t="s">
        <v>7</v>
      </c>
      <c r="N125" s="10">
        <v>1</v>
      </c>
      <c r="O125" s="10"/>
      <c r="P125" s="10"/>
      <c r="Q125" s="10" t="s">
        <v>207</v>
      </c>
      <c r="R125" s="10">
        <v>3</v>
      </c>
      <c r="S125" s="10"/>
      <c r="T125" s="10"/>
      <c r="U125" s="10" t="s">
        <v>9</v>
      </c>
      <c r="V125" s="10">
        <v>0.12</v>
      </c>
      <c r="W125" s="10"/>
      <c r="X125" s="10"/>
      <c r="Y125" s="50">
        <v>193</v>
      </c>
      <c r="Z125" s="10">
        <v>275</v>
      </c>
      <c r="AA125" s="10" t="s">
        <v>138</v>
      </c>
      <c r="AB125" s="10" t="s">
        <v>311</v>
      </c>
      <c r="AC125" s="20">
        <v>0</v>
      </c>
      <c r="AD125" s="10" t="s">
        <v>43</v>
      </c>
      <c r="AE125" s="10" t="s">
        <v>210</v>
      </c>
      <c r="AF125" s="12" t="s">
        <v>95</v>
      </c>
      <c r="AG125" s="10">
        <v>1</v>
      </c>
      <c r="AH125" s="10">
        <v>0</v>
      </c>
      <c r="AI125" s="27"/>
      <c r="AJ125" s="27"/>
      <c r="AK125" s="10">
        <v>1</v>
      </c>
      <c r="AL125" s="10">
        <v>653</v>
      </c>
      <c r="AM125" s="19">
        <v>0.747</v>
      </c>
      <c r="AN125" s="19">
        <v>0.90500000000000003</v>
      </c>
      <c r="AO125" s="19"/>
      <c r="AP125" s="19"/>
      <c r="AQ125" s="19">
        <f>Table1[[#This Row],[X_Ac]]*Table1[[#This Row],[S_Acryl_Ac]]</f>
        <v>0.67603500000000005</v>
      </c>
      <c r="AR125" s="19">
        <f>Table1[[#This Row],[Y_Acryl_Ac]]</f>
        <v>0.67603500000000005</v>
      </c>
      <c r="AS125" s="28"/>
      <c r="AT125" s="29"/>
      <c r="AU125" s="10" t="s">
        <v>22</v>
      </c>
      <c r="AV125" s="30" t="s">
        <v>78</v>
      </c>
      <c r="AW125" s="10" t="s">
        <v>133</v>
      </c>
      <c r="AX125" s="10">
        <v>2020</v>
      </c>
      <c r="AY125" s="10">
        <v>3.5</v>
      </c>
      <c r="AZ125" s="10"/>
      <c r="BA125" s="20"/>
      <c r="BB125" s="20"/>
      <c r="BC125" s="20"/>
      <c r="BD125" s="20"/>
    </row>
    <row r="126" spans="1:56" s="18" customFormat="1">
      <c r="A126" s="10">
        <v>125</v>
      </c>
      <c r="B126" s="13">
        <v>0</v>
      </c>
      <c r="C126" s="10"/>
      <c r="D126" s="10"/>
      <c r="E126" s="27"/>
      <c r="F126" s="10"/>
      <c r="G126" s="10"/>
      <c r="H126" s="27"/>
      <c r="I126" s="10" t="s">
        <v>205</v>
      </c>
      <c r="J126" s="10">
        <v>1</v>
      </c>
      <c r="K126" s="10"/>
      <c r="L126" s="10"/>
      <c r="M126" s="10" t="s">
        <v>7</v>
      </c>
      <c r="N126" s="10">
        <v>2</v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50">
        <v>7</v>
      </c>
      <c r="Z126" s="50"/>
      <c r="AA126" s="10" t="s">
        <v>16</v>
      </c>
      <c r="AB126" s="10" t="s">
        <v>311</v>
      </c>
      <c r="AC126" s="20">
        <v>0</v>
      </c>
      <c r="AD126" s="10" t="s">
        <v>43</v>
      </c>
      <c r="AE126" s="10" t="s">
        <v>210</v>
      </c>
      <c r="AF126" s="12" t="s">
        <v>95</v>
      </c>
      <c r="AG126" s="10">
        <v>1</v>
      </c>
      <c r="AH126" s="10">
        <v>0</v>
      </c>
      <c r="AI126" s="27"/>
      <c r="AJ126" s="27"/>
      <c r="AK126" s="10">
        <v>1</v>
      </c>
      <c r="AL126" s="10">
        <v>683</v>
      </c>
      <c r="AM126" s="19">
        <v>0.108</v>
      </c>
      <c r="AN126" s="19">
        <v>0.316</v>
      </c>
      <c r="AO126" s="19"/>
      <c r="AP126" s="19"/>
      <c r="AQ126" s="19">
        <f>Table1[[#This Row],[X_Ac]]*Table1[[#This Row],[S_Acryl_Ac]]</f>
        <v>3.4127999999999999E-2</v>
      </c>
      <c r="AR126" s="19">
        <f>Table1[[#This Row],[Y_Acryl_Ac]]</f>
        <v>3.4127999999999999E-2</v>
      </c>
      <c r="AS126" s="28"/>
      <c r="AT126" s="16"/>
      <c r="AU126" s="10" t="s">
        <v>127</v>
      </c>
      <c r="AV126" s="30"/>
      <c r="AW126" s="10" t="s">
        <v>133</v>
      </c>
      <c r="AX126" s="10">
        <v>2020</v>
      </c>
      <c r="AY126" s="10"/>
      <c r="AZ126" s="10"/>
      <c r="BA126" s="20"/>
      <c r="BB126" s="20"/>
      <c r="BC126" s="20"/>
      <c r="BD126" s="20"/>
    </row>
    <row r="127" spans="1:56" s="18" customFormat="1" ht="15.6" customHeight="1">
      <c r="A127" s="10">
        <v>126</v>
      </c>
      <c r="B127" s="13">
        <v>0.8</v>
      </c>
      <c r="C127" s="10" t="s">
        <v>10</v>
      </c>
      <c r="D127" s="10"/>
      <c r="E127" s="27">
        <v>1</v>
      </c>
      <c r="F127" s="10"/>
      <c r="G127" s="10"/>
      <c r="H127" s="27"/>
      <c r="I127" s="10" t="s">
        <v>205</v>
      </c>
      <c r="J127" s="10">
        <v>0.18</v>
      </c>
      <c r="K127" s="10"/>
      <c r="L127" s="10"/>
      <c r="M127" s="10" t="s">
        <v>7</v>
      </c>
      <c r="N127" s="10">
        <v>1</v>
      </c>
      <c r="O127" s="10"/>
      <c r="P127" s="10"/>
      <c r="Q127" s="10" t="s">
        <v>207</v>
      </c>
      <c r="R127" s="10">
        <v>3</v>
      </c>
      <c r="S127" s="10"/>
      <c r="T127" s="10"/>
      <c r="U127" s="10" t="s">
        <v>9</v>
      </c>
      <c r="V127" s="10">
        <v>0.12</v>
      </c>
      <c r="W127" s="10"/>
      <c r="X127" s="10"/>
      <c r="Y127" s="50"/>
      <c r="Z127" s="10">
        <v>2.38</v>
      </c>
      <c r="AA127" s="10" t="s">
        <v>21</v>
      </c>
      <c r="AB127" s="10" t="s">
        <v>311</v>
      </c>
      <c r="AC127" s="20">
        <v>0</v>
      </c>
      <c r="AD127" s="10" t="s">
        <v>43</v>
      </c>
      <c r="AE127" s="10" t="s">
        <v>210</v>
      </c>
      <c r="AF127" s="12" t="s">
        <v>95</v>
      </c>
      <c r="AG127" s="10">
        <v>1</v>
      </c>
      <c r="AH127" s="10">
        <v>0</v>
      </c>
      <c r="AI127" s="27"/>
      <c r="AJ127" s="27"/>
      <c r="AK127" s="10">
        <v>1</v>
      </c>
      <c r="AL127" s="10">
        <v>648</v>
      </c>
      <c r="AM127" s="19">
        <f>Table1[[#This Row],[Y_Acryl_Ac]]/Table1[[#This Row],[S_Acryl_Ac]]</f>
        <v>0.64269662921348303</v>
      </c>
      <c r="AN127" s="19">
        <v>0.89</v>
      </c>
      <c r="AO127" s="19"/>
      <c r="AP127" s="19"/>
      <c r="AQ127" s="19">
        <v>0.57199999999999995</v>
      </c>
      <c r="AR127" s="19">
        <f>Table1[[#This Row],[Y_Acryl_Ac]]</f>
        <v>0.57199999999999995</v>
      </c>
      <c r="AS127" s="28"/>
      <c r="AT127" s="16"/>
      <c r="AU127" s="10" t="s">
        <v>127</v>
      </c>
      <c r="AV127" s="30"/>
      <c r="AW127" s="10" t="s">
        <v>133</v>
      </c>
      <c r="AX127" s="10">
        <v>2020</v>
      </c>
      <c r="AY127" s="10">
        <v>0.88</v>
      </c>
      <c r="AZ127" s="10"/>
      <c r="BA127" s="20"/>
      <c r="BB127" s="20"/>
      <c r="BC127" s="20"/>
      <c r="BD127" s="20"/>
    </row>
    <row r="128" spans="1:56" s="18" customFormat="1" ht="15.6" customHeight="1">
      <c r="A128" s="10">
        <v>127</v>
      </c>
      <c r="B128" s="13">
        <v>0.8</v>
      </c>
      <c r="C128" s="10" t="s">
        <v>10</v>
      </c>
      <c r="D128" s="10"/>
      <c r="E128" s="27">
        <v>1</v>
      </c>
      <c r="F128" s="10"/>
      <c r="G128" s="10"/>
      <c r="H128" s="27"/>
      <c r="I128" s="10" t="s">
        <v>205</v>
      </c>
      <c r="J128" s="10">
        <v>0.18</v>
      </c>
      <c r="K128" s="10"/>
      <c r="L128" s="10"/>
      <c r="M128" s="10" t="s">
        <v>7</v>
      </c>
      <c r="N128" s="10">
        <v>1</v>
      </c>
      <c r="O128" s="10"/>
      <c r="P128" s="10"/>
      <c r="Q128" s="10" t="s">
        <v>207</v>
      </c>
      <c r="R128" s="10">
        <v>3</v>
      </c>
      <c r="S128" s="10"/>
      <c r="T128" s="10"/>
      <c r="U128" s="10" t="s">
        <v>9</v>
      </c>
      <c r="V128" s="10">
        <v>0.12</v>
      </c>
      <c r="W128" s="10"/>
      <c r="X128" s="10"/>
      <c r="Y128" s="50"/>
      <c r="Z128" s="10">
        <v>193</v>
      </c>
      <c r="AA128" s="10" t="s">
        <v>138</v>
      </c>
      <c r="AB128" s="10" t="s">
        <v>311</v>
      </c>
      <c r="AC128" s="20">
        <v>0</v>
      </c>
      <c r="AD128" s="10" t="s">
        <v>43</v>
      </c>
      <c r="AE128" s="10" t="s">
        <v>210</v>
      </c>
      <c r="AF128" s="12" t="s">
        <v>95</v>
      </c>
      <c r="AG128" s="10">
        <v>1</v>
      </c>
      <c r="AH128" s="10">
        <v>0</v>
      </c>
      <c r="AI128" s="27"/>
      <c r="AJ128" s="27"/>
      <c r="AK128" s="10">
        <v>1</v>
      </c>
      <c r="AL128" s="10">
        <v>648</v>
      </c>
      <c r="AM128" s="19">
        <f>Table1[[#This Row],[Y_Acryl_Ac]]/Table1[[#This Row],[S_Acryl_Ac]]</f>
        <v>0.74696132596685083</v>
      </c>
      <c r="AN128" s="19">
        <v>0.90500000000000003</v>
      </c>
      <c r="AO128" s="19"/>
      <c r="AP128" s="19"/>
      <c r="AQ128" s="19">
        <v>0.67600000000000005</v>
      </c>
      <c r="AR128" s="19">
        <f>Table1[[#This Row],[Y_Acryl_Ac]]</f>
        <v>0.67600000000000005</v>
      </c>
      <c r="AS128" s="28"/>
      <c r="AT128" s="16"/>
      <c r="AU128" s="10" t="s">
        <v>127</v>
      </c>
      <c r="AV128" s="30"/>
      <c r="AW128" s="10" t="s">
        <v>133</v>
      </c>
      <c r="AX128" s="10">
        <v>2020</v>
      </c>
      <c r="AY128" s="10">
        <v>0.88</v>
      </c>
      <c r="AZ128" s="10"/>
      <c r="BA128" s="20"/>
      <c r="BB128" s="20"/>
      <c r="BC128" s="20"/>
      <c r="BD128" s="20"/>
    </row>
    <row r="129" spans="1:56" s="18" customFormat="1" ht="15.6" customHeight="1">
      <c r="A129" s="10">
        <v>128</v>
      </c>
      <c r="B129" s="13">
        <v>0.8</v>
      </c>
      <c r="C129" s="10" t="s">
        <v>11</v>
      </c>
      <c r="D129" s="10"/>
      <c r="E129" s="27">
        <v>0.8</v>
      </c>
      <c r="F129" s="10" t="s">
        <v>347</v>
      </c>
      <c r="G129" s="10"/>
      <c r="H129" s="27">
        <v>0.2</v>
      </c>
      <c r="I129" s="10" t="s">
        <v>205</v>
      </c>
      <c r="J129" s="10">
        <v>0.18</v>
      </c>
      <c r="K129" s="10"/>
      <c r="L129" s="10"/>
      <c r="M129" s="10" t="s">
        <v>7</v>
      </c>
      <c r="N129" s="10">
        <v>1</v>
      </c>
      <c r="O129" s="10"/>
      <c r="P129" s="10"/>
      <c r="Q129" s="10" t="s">
        <v>207</v>
      </c>
      <c r="R129" s="10">
        <v>3</v>
      </c>
      <c r="S129" s="10"/>
      <c r="T129" s="10"/>
      <c r="U129" s="10" t="s">
        <v>9</v>
      </c>
      <c r="V129" s="10">
        <v>0.12</v>
      </c>
      <c r="W129" s="10"/>
      <c r="X129" s="10"/>
      <c r="Y129" s="50"/>
      <c r="Z129" s="10">
        <v>13</v>
      </c>
      <c r="AA129" s="10" t="s">
        <v>139</v>
      </c>
      <c r="AB129" s="10" t="s">
        <v>311</v>
      </c>
      <c r="AC129" s="20">
        <v>0</v>
      </c>
      <c r="AD129" s="10" t="s">
        <v>43</v>
      </c>
      <c r="AE129" s="10" t="s">
        <v>210</v>
      </c>
      <c r="AF129" s="12" t="s">
        <v>95</v>
      </c>
      <c r="AG129" s="10">
        <v>1</v>
      </c>
      <c r="AH129" s="10">
        <v>0</v>
      </c>
      <c r="AI129" s="27"/>
      <c r="AJ129" s="27"/>
      <c r="AK129" s="10">
        <v>1</v>
      </c>
      <c r="AL129" s="10">
        <v>648</v>
      </c>
      <c r="AM129" s="19">
        <f>Table1[[#This Row],[Y_Acryl_Ac]]/Table1[[#This Row],[S_Acryl_Ac]]</f>
        <v>7.9622132253711203E-2</v>
      </c>
      <c r="AN129" s="19">
        <v>0.74099999999999999</v>
      </c>
      <c r="AO129" s="19"/>
      <c r="AP129" s="19"/>
      <c r="AQ129" s="19">
        <v>5.8999999999999997E-2</v>
      </c>
      <c r="AR129" s="19">
        <f>Table1[[#This Row],[Y_Acryl_Ac]]</f>
        <v>5.8999999999999997E-2</v>
      </c>
      <c r="AS129" s="28"/>
      <c r="AT129" s="16"/>
      <c r="AU129" s="10" t="s">
        <v>127</v>
      </c>
      <c r="AV129" s="30"/>
      <c r="AW129" s="10" t="s">
        <v>133</v>
      </c>
      <c r="AX129" s="10">
        <v>2020</v>
      </c>
      <c r="AY129" s="10">
        <v>0.88</v>
      </c>
      <c r="AZ129" s="10"/>
      <c r="BA129" s="20"/>
      <c r="BB129" s="20"/>
      <c r="BC129" s="20"/>
      <c r="BD129" s="20"/>
    </row>
    <row r="130" spans="1:56" s="18" customFormat="1" ht="15.6" customHeight="1">
      <c r="A130" s="10">
        <v>129</v>
      </c>
      <c r="B130" s="13">
        <v>0.8</v>
      </c>
      <c r="C130" s="10" t="s">
        <v>12</v>
      </c>
      <c r="D130" s="10"/>
      <c r="E130" s="27">
        <v>1</v>
      </c>
      <c r="F130" s="10"/>
      <c r="G130" s="10"/>
      <c r="H130" s="27"/>
      <c r="I130" s="10" t="s">
        <v>205</v>
      </c>
      <c r="J130" s="10">
        <v>0.18</v>
      </c>
      <c r="K130" s="10"/>
      <c r="L130" s="10"/>
      <c r="M130" s="10" t="s">
        <v>7</v>
      </c>
      <c r="N130" s="10">
        <v>1</v>
      </c>
      <c r="O130" s="10"/>
      <c r="P130" s="10"/>
      <c r="Q130" s="10" t="s">
        <v>207</v>
      </c>
      <c r="R130" s="10">
        <v>3</v>
      </c>
      <c r="S130" s="10"/>
      <c r="T130" s="10"/>
      <c r="U130" s="10" t="s">
        <v>9</v>
      </c>
      <c r="V130" s="10">
        <v>0.12</v>
      </c>
      <c r="W130" s="10"/>
      <c r="X130" s="10"/>
      <c r="Y130" s="50"/>
      <c r="Z130" s="10">
        <v>32</v>
      </c>
      <c r="AA130" s="10" t="s">
        <v>139</v>
      </c>
      <c r="AB130" s="10" t="s">
        <v>311</v>
      </c>
      <c r="AC130" s="20">
        <v>0</v>
      </c>
      <c r="AD130" s="10" t="s">
        <v>43</v>
      </c>
      <c r="AE130" s="10" t="s">
        <v>210</v>
      </c>
      <c r="AF130" s="12" t="s">
        <v>95</v>
      </c>
      <c r="AG130" s="10">
        <v>1</v>
      </c>
      <c r="AH130" s="10">
        <v>0</v>
      </c>
      <c r="AI130" s="27"/>
      <c r="AJ130" s="27"/>
      <c r="AK130" s="10">
        <v>1</v>
      </c>
      <c r="AL130" s="10">
        <v>648</v>
      </c>
      <c r="AM130" s="19">
        <f>Table1[[#This Row],[Y_Acryl_Ac]]/Table1[[#This Row],[S_Acryl_Ac]]</f>
        <v>0.51472320376914016</v>
      </c>
      <c r="AN130" s="19">
        <v>0.84899999999999998</v>
      </c>
      <c r="AO130" s="19"/>
      <c r="AP130" s="19"/>
      <c r="AQ130" s="19">
        <v>0.437</v>
      </c>
      <c r="AR130" s="19">
        <f>Table1[[#This Row],[Y_Acryl_Ac]]</f>
        <v>0.437</v>
      </c>
      <c r="AS130" s="28"/>
      <c r="AT130" s="16"/>
      <c r="AU130" s="10" t="s">
        <v>127</v>
      </c>
      <c r="AV130" s="30"/>
      <c r="AW130" s="10" t="s">
        <v>133</v>
      </c>
      <c r="AX130" s="10">
        <v>2020</v>
      </c>
      <c r="AY130" s="10">
        <v>0.88</v>
      </c>
      <c r="AZ130" s="10"/>
      <c r="BA130" s="20"/>
      <c r="BB130" s="20"/>
      <c r="BC130" s="20"/>
      <c r="BD130" s="20"/>
    </row>
    <row r="131" spans="1:56" s="18" customFormat="1" ht="15.6" customHeight="1">
      <c r="A131" s="10">
        <v>130</v>
      </c>
      <c r="B131" s="13">
        <v>0.8</v>
      </c>
      <c r="C131" s="10" t="s">
        <v>11</v>
      </c>
      <c r="D131" s="10"/>
      <c r="E131" s="27">
        <v>1</v>
      </c>
      <c r="F131" s="10"/>
      <c r="G131" s="10"/>
      <c r="H131" s="27"/>
      <c r="I131" s="10" t="s">
        <v>205</v>
      </c>
      <c r="J131" s="10">
        <v>0.18</v>
      </c>
      <c r="K131" s="10"/>
      <c r="L131" s="10"/>
      <c r="M131" s="10" t="s">
        <v>7</v>
      </c>
      <c r="N131" s="10">
        <v>1</v>
      </c>
      <c r="O131" s="10"/>
      <c r="P131" s="10"/>
      <c r="Q131" s="10" t="s">
        <v>207</v>
      </c>
      <c r="R131" s="10">
        <v>3</v>
      </c>
      <c r="S131" s="10"/>
      <c r="T131" s="10"/>
      <c r="U131" s="10" t="s">
        <v>9</v>
      </c>
      <c r="V131" s="10">
        <v>0.12</v>
      </c>
      <c r="W131" s="10"/>
      <c r="X131" s="10"/>
      <c r="Y131" s="50"/>
      <c r="Z131" s="10">
        <v>41</v>
      </c>
      <c r="AA131" s="10" t="s">
        <v>139</v>
      </c>
      <c r="AB131" s="10" t="s">
        <v>311</v>
      </c>
      <c r="AC131" s="20">
        <v>0</v>
      </c>
      <c r="AD131" s="10" t="s">
        <v>43</v>
      </c>
      <c r="AE131" s="10" t="s">
        <v>210</v>
      </c>
      <c r="AF131" s="12" t="s">
        <v>95</v>
      </c>
      <c r="AG131" s="10">
        <v>1</v>
      </c>
      <c r="AH131" s="10">
        <v>0</v>
      </c>
      <c r="AI131" s="27"/>
      <c r="AJ131" s="27"/>
      <c r="AK131" s="10">
        <v>1</v>
      </c>
      <c r="AL131" s="10">
        <v>648</v>
      </c>
      <c r="AM131" s="19">
        <v>0.63800000000000001</v>
      </c>
      <c r="AN131" s="19">
        <v>0.92</v>
      </c>
      <c r="AO131" s="19"/>
      <c r="AP131" s="19"/>
      <c r="AQ131" s="19">
        <f>Table1[[#This Row],[X_Ac]]*Table1[[#This Row],[S_Acryl_Ac]]</f>
        <v>0.58696000000000004</v>
      </c>
      <c r="AR131" s="19">
        <f>Table1[[#This Row],[Y_Acryl_Ac]]</f>
        <v>0.58696000000000004</v>
      </c>
      <c r="AS131" s="28"/>
      <c r="AT131" s="16"/>
      <c r="AU131" s="10" t="s">
        <v>127</v>
      </c>
      <c r="AV131" s="30"/>
      <c r="AW131" s="10" t="s">
        <v>133</v>
      </c>
      <c r="AX131" s="10">
        <v>2020</v>
      </c>
      <c r="AY131" s="10">
        <v>0.88</v>
      </c>
      <c r="AZ131" s="10"/>
      <c r="BA131" s="20"/>
      <c r="BB131" s="20"/>
      <c r="BC131" s="20"/>
      <c r="BD131" s="20"/>
    </row>
    <row r="132" spans="1:56" s="18" customFormat="1" ht="15.6" customHeight="1">
      <c r="A132" s="10">
        <v>131</v>
      </c>
      <c r="B132" s="13">
        <v>0.9</v>
      </c>
      <c r="C132" s="10" t="s">
        <v>10</v>
      </c>
      <c r="D132" s="10"/>
      <c r="E132" s="27">
        <v>1</v>
      </c>
      <c r="F132" s="10"/>
      <c r="G132" s="10"/>
      <c r="H132" s="27"/>
      <c r="I132" s="10" t="s">
        <v>205</v>
      </c>
      <c r="J132" s="10">
        <v>1</v>
      </c>
      <c r="K132" s="10"/>
      <c r="L132" s="10"/>
      <c r="M132" s="10" t="s">
        <v>7</v>
      </c>
      <c r="N132" s="10">
        <v>2</v>
      </c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50">
        <v>90</v>
      </c>
      <c r="Z132" s="10">
        <v>250</v>
      </c>
      <c r="AA132" s="10" t="s">
        <v>3</v>
      </c>
      <c r="AB132" s="10">
        <v>1</v>
      </c>
      <c r="AC132" s="20">
        <v>0</v>
      </c>
      <c r="AD132" s="10" t="s">
        <v>43</v>
      </c>
      <c r="AE132" s="10" t="s">
        <v>210</v>
      </c>
      <c r="AF132" s="10" t="s">
        <v>95</v>
      </c>
      <c r="AG132" s="10">
        <v>3</v>
      </c>
      <c r="AH132" s="10">
        <v>0</v>
      </c>
      <c r="AI132" s="27">
        <f t="shared" ref="AI132:AI137" si="23">8/3</f>
        <v>2.6666666666666665</v>
      </c>
      <c r="AJ132" s="27">
        <f t="shared" ref="AJ132:AJ141" si="24">30/3</f>
        <v>10</v>
      </c>
      <c r="AK132" s="10">
        <v>1</v>
      </c>
      <c r="AL132" s="10">
        <v>623</v>
      </c>
      <c r="AM132" s="19">
        <f>13.5%+Table1[[#This Row],[Y_Acryl_Ac]]</f>
        <v>0.19666666666666668</v>
      </c>
      <c r="AN132" s="19">
        <f>Table1[[#This Row],[Y_Acryl_Ac]]/Table1[[#This Row],[X_Ac]]</f>
        <v>0.3135593220338983</v>
      </c>
      <c r="AO132" s="19">
        <v>0.25</v>
      </c>
      <c r="AP132" s="19">
        <v>0.74</v>
      </c>
      <c r="AQ132" s="19">
        <f>Table1[[#This Row],[Y_Acryl_Fa]]/Table1[[#This Row],[Ratio_Ac_Fa]]</f>
        <v>6.1666666666666668E-2</v>
      </c>
      <c r="AR132" s="19">
        <f>Table1[[#This Row],[X_Fa]]*Table1[[#This Row],[S_Acryl_Fa]]</f>
        <v>0.185</v>
      </c>
      <c r="AS132" s="28">
        <f t="shared" ref="AS132:AS154" si="25">AVERAGE(BC132:BD132)</f>
        <v>2.003826076275772</v>
      </c>
      <c r="AT132" s="29"/>
      <c r="AU132" s="10" t="s">
        <v>25</v>
      </c>
      <c r="AV132" s="19"/>
      <c r="AW132" s="10" t="s">
        <v>182</v>
      </c>
      <c r="AX132" s="10">
        <v>2016</v>
      </c>
      <c r="AY132" s="10">
        <v>3</v>
      </c>
      <c r="AZ132" s="10"/>
      <c r="BA132" s="20">
        <v>0.54157461520966821</v>
      </c>
      <c r="BB132" s="20">
        <v>1.6247238456290043</v>
      </c>
      <c r="BC132" s="20">
        <f>BA132*60*AR132/AY132</f>
        <v>2.003826076275772</v>
      </c>
      <c r="BD132" s="20">
        <f>BB132*60*AQ132/AY132</f>
        <v>2.003826076275772</v>
      </c>
    </row>
    <row r="133" spans="1:56" s="18" customFormat="1">
      <c r="A133" s="10">
        <v>132</v>
      </c>
      <c r="B133" s="13">
        <v>0.9</v>
      </c>
      <c r="C133" s="10" t="s">
        <v>10</v>
      </c>
      <c r="D133" s="10"/>
      <c r="E133" s="27">
        <v>1</v>
      </c>
      <c r="F133" s="10"/>
      <c r="G133" s="10"/>
      <c r="H133" s="27"/>
      <c r="I133" s="10" t="s">
        <v>205</v>
      </c>
      <c r="J133" s="10">
        <v>1</v>
      </c>
      <c r="K133" s="10"/>
      <c r="L133" s="10"/>
      <c r="M133" s="10" t="s">
        <v>7</v>
      </c>
      <c r="N133" s="10">
        <v>2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50">
        <v>226</v>
      </c>
      <c r="Z133" s="10">
        <v>750</v>
      </c>
      <c r="AA133" s="10" t="s">
        <v>3</v>
      </c>
      <c r="AB133" s="10">
        <v>1</v>
      </c>
      <c r="AC133" s="20">
        <v>0</v>
      </c>
      <c r="AD133" s="10" t="s">
        <v>43</v>
      </c>
      <c r="AE133" s="10" t="s">
        <v>210</v>
      </c>
      <c r="AF133" s="10" t="s">
        <v>95</v>
      </c>
      <c r="AG133" s="10">
        <v>3</v>
      </c>
      <c r="AH133" s="10">
        <v>0</v>
      </c>
      <c r="AI133" s="27">
        <f t="shared" si="23"/>
        <v>2.6666666666666665</v>
      </c>
      <c r="AJ133" s="27">
        <f t="shared" si="24"/>
        <v>10</v>
      </c>
      <c r="AK133" s="10">
        <v>1</v>
      </c>
      <c r="AL133" s="10">
        <v>623</v>
      </c>
      <c r="AM133" s="19">
        <f>11.5%+Table1[[#This Row],[Y_Acryl_Ac]]</f>
        <v>0.21579999999999999</v>
      </c>
      <c r="AN133" s="19">
        <f>Table1[[#This Row],[Y_Acryl_Ac]]/Table1[[#This Row],[X_Ac]]</f>
        <v>0.46709916589434664</v>
      </c>
      <c r="AO133" s="19">
        <v>0.36</v>
      </c>
      <c r="AP133" s="19">
        <v>0.84</v>
      </c>
      <c r="AQ133" s="19">
        <f>Table1[[#This Row],[Y_Acryl_Fa]]/Table1[[#This Row],[Ratio_Ac_Fa]]</f>
        <v>0.1008</v>
      </c>
      <c r="AR133" s="19">
        <f>Table1[[#This Row],[X_Fa]]*Table1[[#This Row],[S_Acryl_Fa]]</f>
        <v>0.3024</v>
      </c>
      <c r="AS133" s="28">
        <f t="shared" si="25"/>
        <v>3.2754432727880731</v>
      </c>
      <c r="AT133" s="29"/>
      <c r="AU133" s="10" t="s">
        <v>25</v>
      </c>
      <c r="AV133" s="19"/>
      <c r="AW133" s="10" t="s">
        <v>182</v>
      </c>
      <c r="AX133" s="10">
        <v>2016</v>
      </c>
      <c r="AY133" s="10">
        <v>3</v>
      </c>
      <c r="AZ133" s="10"/>
      <c r="BA133" s="20">
        <v>0.54157461520966821</v>
      </c>
      <c r="BB133" s="20">
        <v>1.6247238456290043</v>
      </c>
      <c r="BC133" s="20">
        <f>BA133*60*AR133/AY133</f>
        <v>3.2754432727880736</v>
      </c>
      <c r="BD133" s="20">
        <f>BB133*60*AQ133/AY133</f>
        <v>3.2754432727880727</v>
      </c>
    </row>
    <row r="134" spans="1:56" s="18" customFormat="1">
      <c r="A134" s="10">
        <v>133</v>
      </c>
      <c r="B134" s="13">
        <v>0.9</v>
      </c>
      <c r="C134" s="10" t="s">
        <v>10</v>
      </c>
      <c r="D134" s="10">
        <v>360</v>
      </c>
      <c r="E134" s="27"/>
      <c r="F134" s="10" t="s">
        <v>12</v>
      </c>
      <c r="G134" s="10">
        <v>1</v>
      </c>
      <c r="H134" s="27"/>
      <c r="I134" s="10" t="s">
        <v>205</v>
      </c>
      <c r="J134" s="10">
        <v>1</v>
      </c>
      <c r="K134" s="10"/>
      <c r="L134" s="10"/>
      <c r="M134" s="10" t="s">
        <v>7</v>
      </c>
      <c r="N134" s="10">
        <v>2</v>
      </c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50">
        <v>172</v>
      </c>
      <c r="Z134" s="10">
        <v>350</v>
      </c>
      <c r="AA134" s="10" t="s">
        <v>3</v>
      </c>
      <c r="AB134" s="10">
        <v>1</v>
      </c>
      <c r="AC134" s="20">
        <v>0</v>
      </c>
      <c r="AD134" s="10" t="s">
        <v>43</v>
      </c>
      <c r="AE134" s="10" t="s">
        <v>210</v>
      </c>
      <c r="AF134" s="10" t="s">
        <v>95</v>
      </c>
      <c r="AG134" s="10">
        <v>3</v>
      </c>
      <c r="AH134" s="10">
        <v>0</v>
      </c>
      <c r="AI134" s="27">
        <f t="shared" si="23"/>
        <v>2.6666666666666665</v>
      </c>
      <c r="AJ134" s="27">
        <f t="shared" si="24"/>
        <v>10</v>
      </c>
      <c r="AK134" s="10">
        <v>1</v>
      </c>
      <c r="AL134" s="10">
        <v>623</v>
      </c>
      <c r="AM134" s="19">
        <f>11.5%+Table1[[#This Row],[Y_Acryl_Ac]]</f>
        <v>0.19153333333333333</v>
      </c>
      <c r="AN134" s="19">
        <f>Table1[[#This Row],[Y_Acryl_Ac]]/Table1[[#This Row],[X_Ac]]</f>
        <v>0.3995823181343543</v>
      </c>
      <c r="AO134" s="19">
        <v>0.28000000000000003</v>
      </c>
      <c r="AP134" s="19">
        <v>0.82</v>
      </c>
      <c r="AQ134" s="19">
        <f>Table1[[#This Row],[Y_Acryl_Fa]]/Table1[[#This Row],[Ratio_Ac_Fa]]</f>
        <v>7.6533333333333328E-2</v>
      </c>
      <c r="AR134" s="19">
        <f>Table1[[#This Row],[X_Fa]]*Table1[[#This Row],[S_Acryl_Fa]]</f>
        <v>0.2296</v>
      </c>
      <c r="AS134" s="28">
        <f t="shared" si="25"/>
        <v>2.4869106330427959</v>
      </c>
      <c r="AT134" s="29"/>
      <c r="AU134" s="10" t="s">
        <v>25</v>
      </c>
      <c r="AV134" s="19"/>
      <c r="AW134" s="10" t="s">
        <v>182</v>
      </c>
      <c r="AX134" s="10">
        <v>2016</v>
      </c>
      <c r="AY134" s="10">
        <v>3</v>
      </c>
      <c r="AZ134" s="10"/>
      <c r="BA134" s="20">
        <v>0.54157461520966821</v>
      </c>
      <c r="BB134" s="20">
        <v>1.6247238456290043</v>
      </c>
      <c r="BC134" s="20">
        <f>BA134*60*AR134/AY134</f>
        <v>2.4869106330427964</v>
      </c>
      <c r="BD134" s="20">
        <f>BB134*60*AQ134/AY134</f>
        <v>2.4869106330427959</v>
      </c>
    </row>
    <row r="135" spans="1:56" s="18" customFormat="1" ht="15.6" customHeight="1">
      <c r="A135" s="10">
        <v>134</v>
      </c>
      <c r="B135" s="13">
        <v>0.9</v>
      </c>
      <c r="C135" s="10" t="s">
        <v>10</v>
      </c>
      <c r="D135" s="10"/>
      <c r="E135" s="27">
        <v>1</v>
      </c>
      <c r="F135" s="10"/>
      <c r="G135" s="10"/>
      <c r="H135" s="27"/>
      <c r="I135" s="10" t="s">
        <v>205</v>
      </c>
      <c r="J135" s="10">
        <v>1</v>
      </c>
      <c r="K135" s="10"/>
      <c r="L135" s="10"/>
      <c r="M135" s="10" t="s">
        <v>7</v>
      </c>
      <c r="N135" s="10">
        <v>2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50">
        <v>90</v>
      </c>
      <c r="Z135" s="10">
        <v>250</v>
      </c>
      <c r="AA135" s="10" t="s">
        <v>3</v>
      </c>
      <c r="AB135" s="10">
        <v>1</v>
      </c>
      <c r="AC135" s="20">
        <v>0</v>
      </c>
      <c r="AD135" s="10" t="s">
        <v>43</v>
      </c>
      <c r="AE135" s="10" t="s">
        <v>210</v>
      </c>
      <c r="AF135" s="10" t="s">
        <v>95</v>
      </c>
      <c r="AG135" s="10">
        <v>3</v>
      </c>
      <c r="AH135" s="10">
        <v>0</v>
      </c>
      <c r="AI135" s="27">
        <f t="shared" si="23"/>
        <v>2.6666666666666665</v>
      </c>
      <c r="AJ135" s="27">
        <f t="shared" si="24"/>
        <v>10</v>
      </c>
      <c r="AK135" s="10">
        <v>1</v>
      </c>
      <c r="AL135" s="10">
        <v>643</v>
      </c>
      <c r="AM135" s="19">
        <f>21%+Table1[[#This Row],[Y_Acryl_Ac]]</f>
        <v>0.29904133333333333</v>
      </c>
      <c r="AN135" s="19">
        <f>Table1[[#This Row],[Y_Acryl_Ac]]/Table1[[#This Row],[X_Ac]]</f>
        <v>0.29775594009300826</v>
      </c>
      <c r="AO135" s="19">
        <v>0.46700000000000003</v>
      </c>
      <c r="AP135" s="19">
        <v>0.57199999999999995</v>
      </c>
      <c r="AQ135" s="19">
        <f>Table1[[#This Row],[Y_Acryl_Fa]]/Table1[[#This Row],[Ratio_Ac_Fa]]</f>
        <v>8.904133333333332E-2</v>
      </c>
      <c r="AR135" s="19">
        <f>Table1[[#This Row],[X_Fa]]*Table1[[#This Row],[S_Acryl_Fa]]</f>
        <v>0.26712399999999997</v>
      </c>
      <c r="AS135" s="28">
        <f t="shared" si="25"/>
        <v>2.8933515502653471</v>
      </c>
      <c r="AT135" s="29"/>
      <c r="AU135" s="10" t="s">
        <v>25</v>
      </c>
      <c r="AV135" s="19"/>
      <c r="AW135" s="10" t="s">
        <v>182</v>
      </c>
      <c r="AX135" s="10">
        <v>2016</v>
      </c>
      <c r="AY135" s="10">
        <v>3</v>
      </c>
      <c r="AZ135" s="10"/>
      <c r="BA135" s="20">
        <v>0.54157461520966821</v>
      </c>
      <c r="BB135" s="20">
        <v>1.6247238456290043</v>
      </c>
      <c r="BC135" s="20">
        <f>BA135*60*AR135/AY135</f>
        <v>2.8933515502653475</v>
      </c>
      <c r="BD135" s="20">
        <f>BB135*60*AQ135/AY135</f>
        <v>2.8933515502653471</v>
      </c>
    </row>
    <row r="136" spans="1:56" s="18" customFormat="1">
      <c r="A136" s="10">
        <v>135</v>
      </c>
      <c r="B136" s="13">
        <v>0.9</v>
      </c>
      <c r="C136" s="10" t="s">
        <v>10</v>
      </c>
      <c r="D136" s="10"/>
      <c r="E136" s="27">
        <v>1</v>
      </c>
      <c r="F136" s="10"/>
      <c r="G136" s="10"/>
      <c r="H136" s="27"/>
      <c r="I136" s="10" t="s">
        <v>205</v>
      </c>
      <c r="J136" s="10">
        <v>1</v>
      </c>
      <c r="K136" s="10"/>
      <c r="L136" s="10"/>
      <c r="M136" s="10" t="s">
        <v>7</v>
      </c>
      <c r="N136" s="10">
        <v>2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50">
        <v>226</v>
      </c>
      <c r="Z136" s="10">
        <v>750</v>
      </c>
      <c r="AA136" s="10" t="s">
        <v>3</v>
      </c>
      <c r="AB136" s="10">
        <v>1</v>
      </c>
      <c r="AC136" s="20">
        <v>0</v>
      </c>
      <c r="AD136" s="10" t="s">
        <v>43</v>
      </c>
      <c r="AE136" s="10" t="s">
        <v>210</v>
      </c>
      <c r="AF136" s="10" t="s">
        <v>95</v>
      </c>
      <c r="AG136" s="10">
        <v>3</v>
      </c>
      <c r="AH136" s="10">
        <v>0</v>
      </c>
      <c r="AI136" s="27">
        <f t="shared" si="23"/>
        <v>2.6666666666666665</v>
      </c>
      <c r="AJ136" s="27">
        <f t="shared" si="24"/>
        <v>10</v>
      </c>
      <c r="AK136" s="10">
        <v>1</v>
      </c>
      <c r="AL136" s="10">
        <v>643</v>
      </c>
      <c r="AM136" s="19">
        <f>18.75%+Table1[[#This Row],[Y_Acryl_Ac]]</f>
        <v>0.35398300000000005</v>
      </c>
      <c r="AN136" s="19">
        <f>Table1[[#This Row],[Y_Acryl_Ac]]/Table1[[#This Row],[X_Ac]]</f>
        <v>0.47031354613074638</v>
      </c>
      <c r="AO136" s="19">
        <v>0.68700000000000006</v>
      </c>
      <c r="AP136" s="19">
        <v>0.72699999999999998</v>
      </c>
      <c r="AQ136" s="19">
        <f>Table1[[#This Row],[Y_Acryl_Fa]]/Table1[[#This Row],[Ratio_Ac_Fa]]</f>
        <v>0.16648300000000002</v>
      </c>
      <c r="AR136" s="19">
        <f>Table1[[#This Row],[X_Fa]]*Table1[[#This Row],[S_Acryl_Fa]]</f>
        <v>0.49944900000000003</v>
      </c>
      <c r="AS136" s="28">
        <f t="shared" si="25"/>
        <v>5.4097779998370719</v>
      </c>
      <c r="AT136" s="29"/>
      <c r="AU136" s="10" t="s">
        <v>25</v>
      </c>
      <c r="AV136" s="19"/>
      <c r="AW136" s="10" t="s">
        <v>182</v>
      </c>
      <c r="AX136" s="10">
        <v>2016</v>
      </c>
      <c r="AY136" s="10">
        <v>3</v>
      </c>
      <c r="AZ136" s="10"/>
      <c r="BA136" s="20">
        <v>0.54157461520966821</v>
      </c>
      <c r="BB136" s="20">
        <v>1.6247238456290043</v>
      </c>
      <c r="BC136" s="20">
        <f>BA136*60*AR136/AY136</f>
        <v>5.4097779998370719</v>
      </c>
      <c r="BD136" s="20">
        <f>BB136*60*AQ136/AY136</f>
        <v>5.4097779998370719</v>
      </c>
    </row>
    <row r="137" spans="1:56" s="18" customFormat="1">
      <c r="A137" s="10">
        <v>136</v>
      </c>
      <c r="B137" s="13">
        <v>0.9</v>
      </c>
      <c r="C137" s="10" t="s">
        <v>10</v>
      </c>
      <c r="D137" s="10">
        <v>360</v>
      </c>
      <c r="E137" s="27"/>
      <c r="F137" s="10" t="s">
        <v>12</v>
      </c>
      <c r="G137" s="10">
        <v>1</v>
      </c>
      <c r="H137" s="27"/>
      <c r="I137" s="10" t="s">
        <v>205</v>
      </c>
      <c r="J137" s="10">
        <v>1</v>
      </c>
      <c r="K137" s="10"/>
      <c r="L137" s="10"/>
      <c r="M137" s="10" t="s">
        <v>7</v>
      </c>
      <c r="N137" s="10">
        <v>2</v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50">
        <v>172</v>
      </c>
      <c r="Z137" s="10">
        <v>350</v>
      </c>
      <c r="AA137" s="10" t="s">
        <v>3</v>
      </c>
      <c r="AB137" s="10">
        <v>1</v>
      </c>
      <c r="AC137" s="20">
        <v>0</v>
      </c>
      <c r="AD137" s="10" t="s">
        <v>43</v>
      </c>
      <c r="AE137" s="10" t="s">
        <v>210</v>
      </c>
      <c r="AF137" s="10" t="s">
        <v>95</v>
      </c>
      <c r="AG137" s="10">
        <v>3</v>
      </c>
      <c r="AH137" s="10">
        <v>0</v>
      </c>
      <c r="AI137" s="27">
        <f t="shared" si="23"/>
        <v>2.6666666666666665</v>
      </c>
      <c r="AJ137" s="27">
        <f t="shared" si="24"/>
        <v>10</v>
      </c>
      <c r="AK137" s="10">
        <v>1</v>
      </c>
      <c r="AL137" s="10">
        <v>643</v>
      </c>
      <c r="AM137" s="19">
        <f>17%+Table1[[#This Row],[Y_Acryl_Ac]]</f>
        <v>0.29983466666666669</v>
      </c>
      <c r="AN137" s="19">
        <f>Table1[[#This Row],[Y_Acryl_Ac]]/Table1[[#This Row],[X_Ac]]</f>
        <v>0.43302086483217417</v>
      </c>
      <c r="AO137" s="19">
        <v>0.54400000000000004</v>
      </c>
      <c r="AP137" s="19">
        <v>0.71599999999999997</v>
      </c>
      <c r="AQ137" s="19">
        <f>Table1[[#This Row],[Y_Acryl_Fa]]/Table1[[#This Row],[Ratio_Ac_Fa]]</f>
        <v>0.12983466666666668</v>
      </c>
      <c r="AR137" s="19">
        <f>Table1[[#This Row],[X_Fa]]*Table1[[#This Row],[S_Acryl_Fa]]</f>
        <v>0.38950400000000002</v>
      </c>
      <c r="AS137" s="28">
        <f t="shared" si="25"/>
        <v>4.2189095784525321</v>
      </c>
      <c r="AT137" s="29"/>
      <c r="AU137" s="10" t="s">
        <v>25</v>
      </c>
      <c r="AV137" s="19"/>
      <c r="AW137" s="10" t="s">
        <v>182</v>
      </c>
      <c r="AX137" s="10">
        <v>2016</v>
      </c>
      <c r="AY137" s="10">
        <v>3</v>
      </c>
      <c r="AZ137" s="10"/>
      <c r="BA137" s="20">
        <v>0.54157461520966821</v>
      </c>
      <c r="BB137" s="20">
        <v>1.6247238456290043</v>
      </c>
      <c r="BC137" s="20">
        <f>BA137*60*AR137/AY137</f>
        <v>4.2189095784525321</v>
      </c>
      <c r="BD137" s="20">
        <f>BB137*60*AQ137/AY137</f>
        <v>4.2189095784525321</v>
      </c>
    </row>
    <row r="138" spans="1:56" s="18" customFormat="1" ht="15.6" customHeight="1">
      <c r="A138" s="10">
        <v>137</v>
      </c>
      <c r="B138" s="13">
        <v>0.8</v>
      </c>
      <c r="C138" s="10" t="s">
        <v>10</v>
      </c>
      <c r="D138" s="10"/>
      <c r="E138" s="27">
        <v>1</v>
      </c>
      <c r="F138" s="10"/>
      <c r="G138" s="10"/>
      <c r="H138" s="27"/>
      <c r="I138" s="10" t="s">
        <v>205</v>
      </c>
      <c r="J138" s="10">
        <v>1</v>
      </c>
      <c r="K138" s="10"/>
      <c r="L138" s="10"/>
      <c r="M138" s="10" t="s">
        <v>7</v>
      </c>
      <c r="N138" s="11">
        <v>2.2000000000000002</v>
      </c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51">
        <v>115.2</v>
      </c>
      <c r="Z138" s="11">
        <v>250</v>
      </c>
      <c r="AA138" s="11" t="s">
        <v>17</v>
      </c>
      <c r="AB138" s="10">
        <v>1</v>
      </c>
      <c r="AC138" s="20">
        <v>0</v>
      </c>
      <c r="AD138" s="10" t="s">
        <v>43</v>
      </c>
      <c r="AE138" s="10" t="s">
        <v>211</v>
      </c>
      <c r="AF138" s="10" t="s">
        <v>95</v>
      </c>
      <c r="AG138" s="10">
        <v>3</v>
      </c>
      <c r="AH138" s="10">
        <v>0</v>
      </c>
      <c r="AI138" s="27">
        <f>0.117115557857213*60/3</f>
        <v>2.3423111571442603</v>
      </c>
      <c r="AJ138" s="27">
        <f t="shared" si="24"/>
        <v>10</v>
      </c>
      <c r="AK138" s="10">
        <v>1</v>
      </c>
      <c r="AL138" s="10">
        <v>633</v>
      </c>
      <c r="AM138" s="19">
        <f>0.012+0.014+Table1[[#This Row],[Y_Acryl_Ac]]</f>
        <v>0.21383333333333332</v>
      </c>
      <c r="AN138" s="19">
        <f>Table1[[#This Row],[Y_Acryl_Ac]]/Table1[[#This Row],[X_Ac]]</f>
        <v>0.87840997661730325</v>
      </c>
      <c r="AO138" s="19">
        <v>0.57499999999999996</v>
      </c>
      <c r="AP138" s="19">
        <f>(97+1)%</f>
        <v>0.98</v>
      </c>
      <c r="AQ138" s="19">
        <f>Table1[[#This Row],[Y_Acryl_Fa]]/Table1[[#This Row],[Ratio_Ac_Fa]]</f>
        <v>0.18783333333333332</v>
      </c>
      <c r="AR138" s="19">
        <f>Table1[[#This Row],[X_Fa]]*Table1[[#This Row],[S_Acryl_Fa]]</f>
        <v>0.5635</v>
      </c>
      <c r="AS138" s="28">
        <f t="shared" si="25"/>
        <v>7.6856345354775284</v>
      </c>
      <c r="AT138" s="29"/>
      <c r="AU138" s="10" t="s">
        <v>31</v>
      </c>
      <c r="AV138" s="19"/>
      <c r="AW138" s="10" t="s">
        <v>182</v>
      </c>
      <c r="AX138" s="10">
        <v>2017</v>
      </c>
      <c r="AY138" s="10">
        <v>3</v>
      </c>
      <c r="AZ138" s="10"/>
      <c r="BA138" s="20">
        <v>0.68195514955435044</v>
      </c>
      <c r="BB138" s="20">
        <v>2.0458654486630508</v>
      </c>
      <c r="BC138" s="20">
        <f>BA138*60*AR138/AY138</f>
        <v>7.6856345354775302</v>
      </c>
      <c r="BD138" s="20">
        <f>BB138*60*AQ138/AY138</f>
        <v>7.6856345354775266</v>
      </c>
    </row>
    <row r="139" spans="1:56" s="18" customFormat="1" ht="15.6" customHeight="1">
      <c r="A139" s="10">
        <v>138</v>
      </c>
      <c r="B139" s="13">
        <v>0.8</v>
      </c>
      <c r="C139" s="10" t="s">
        <v>10</v>
      </c>
      <c r="D139" s="10"/>
      <c r="E139" s="27">
        <v>1</v>
      </c>
      <c r="F139" s="10"/>
      <c r="G139" s="10"/>
      <c r="H139" s="27"/>
      <c r="I139" s="10" t="s">
        <v>205</v>
      </c>
      <c r="J139" s="10">
        <v>1</v>
      </c>
      <c r="K139" s="10"/>
      <c r="L139" s="10"/>
      <c r="M139" s="10" t="s">
        <v>7</v>
      </c>
      <c r="N139" s="11">
        <v>2.2000000000000002</v>
      </c>
      <c r="O139" s="11"/>
      <c r="P139" s="11"/>
      <c r="Q139" s="11" t="s">
        <v>30</v>
      </c>
      <c r="R139" s="11">
        <v>0.05</v>
      </c>
      <c r="S139" s="11"/>
      <c r="T139" s="11"/>
      <c r="U139" s="11"/>
      <c r="V139" s="11"/>
      <c r="W139" s="11"/>
      <c r="X139" s="11"/>
      <c r="Y139" s="51">
        <v>108.6</v>
      </c>
      <c r="Z139" s="51">
        <v>250</v>
      </c>
      <c r="AA139" s="11" t="s">
        <v>17</v>
      </c>
      <c r="AB139" s="10">
        <v>1</v>
      </c>
      <c r="AC139" s="20">
        <v>0</v>
      </c>
      <c r="AD139" s="10" t="s">
        <v>43</v>
      </c>
      <c r="AE139" s="10" t="s">
        <v>211</v>
      </c>
      <c r="AF139" s="10" t="s">
        <v>95</v>
      </c>
      <c r="AG139" s="10">
        <v>3</v>
      </c>
      <c r="AH139" s="10">
        <v>0</v>
      </c>
      <c r="AI139" s="27">
        <f>0.117115557857213*60/3</f>
        <v>2.3423111571442603</v>
      </c>
      <c r="AJ139" s="27">
        <f t="shared" si="24"/>
        <v>10</v>
      </c>
      <c r="AK139" s="10">
        <v>1</v>
      </c>
      <c r="AL139" s="10">
        <v>633</v>
      </c>
      <c r="AM139" s="19">
        <f>0.0125+0.015+Table1[[#This Row],[Y_Acryl_Ac]]</f>
        <v>0.27450000000000002</v>
      </c>
      <c r="AN139" s="19">
        <f>Table1[[#This Row],[Y_Acryl_Ac]]/Table1[[#This Row],[X_Ac]]</f>
        <v>0.89981785063752273</v>
      </c>
      <c r="AO139" s="19">
        <v>0.76</v>
      </c>
      <c r="AP139" s="19">
        <f>(96+1.5)%</f>
        <v>0.97499999999999998</v>
      </c>
      <c r="AQ139" s="19">
        <f>Table1[[#This Row],[Y_Acryl_Fa]]/Table1[[#This Row],[Ratio_Ac_Fa]]</f>
        <v>0.247</v>
      </c>
      <c r="AR139" s="19">
        <f>Table1[[#This Row],[X_Fa]]*Table1[[#This Row],[S_Acryl_Fa]]</f>
        <v>0.74099999999999999</v>
      </c>
      <c r="AS139" s="28">
        <f t="shared" si="25"/>
        <v>10.106575316395473</v>
      </c>
      <c r="AT139" s="29"/>
      <c r="AU139" s="10" t="s">
        <v>31</v>
      </c>
      <c r="AV139" s="19"/>
      <c r="AW139" s="10" t="s">
        <v>182</v>
      </c>
      <c r="AX139" s="10">
        <v>2017</v>
      </c>
      <c r="AY139" s="10">
        <v>3</v>
      </c>
      <c r="AZ139" s="10"/>
      <c r="BA139" s="20">
        <v>0.68195514955435044</v>
      </c>
      <c r="BB139" s="20">
        <v>2.0458654486630508</v>
      </c>
      <c r="BC139" s="20">
        <f>BA139*60*AR139/AY139</f>
        <v>10.106575316395475</v>
      </c>
      <c r="BD139" s="20">
        <f>BB139*60*AQ139/AY139</f>
        <v>10.106575316395471</v>
      </c>
    </row>
    <row r="140" spans="1:56" s="18" customFormat="1" ht="15.6" customHeight="1">
      <c r="A140" s="10">
        <v>139</v>
      </c>
      <c r="B140" s="13">
        <v>0.8</v>
      </c>
      <c r="C140" s="10" t="s">
        <v>10</v>
      </c>
      <c r="D140" s="10"/>
      <c r="E140" s="27">
        <v>1</v>
      </c>
      <c r="F140" s="10"/>
      <c r="G140" s="10"/>
      <c r="H140" s="27"/>
      <c r="I140" s="10" t="s">
        <v>205</v>
      </c>
      <c r="J140" s="10">
        <v>1</v>
      </c>
      <c r="K140" s="10"/>
      <c r="L140" s="10"/>
      <c r="M140" s="10" t="s">
        <v>7</v>
      </c>
      <c r="N140" s="11">
        <v>2.2000000000000002</v>
      </c>
      <c r="O140" s="11"/>
      <c r="P140" s="11"/>
      <c r="Q140" s="11" t="s">
        <v>0</v>
      </c>
      <c r="R140" s="11">
        <v>0.2</v>
      </c>
      <c r="S140" s="11"/>
      <c r="T140" s="11"/>
      <c r="U140" s="11"/>
      <c r="V140" s="11"/>
      <c r="W140" s="11"/>
      <c r="X140" s="11"/>
      <c r="Y140" s="51">
        <v>80.099999999999994</v>
      </c>
      <c r="Z140" s="51">
        <v>250</v>
      </c>
      <c r="AA140" s="11" t="s">
        <v>17</v>
      </c>
      <c r="AB140" s="10">
        <v>1</v>
      </c>
      <c r="AC140" s="20">
        <v>0</v>
      </c>
      <c r="AD140" s="10" t="s">
        <v>43</v>
      </c>
      <c r="AE140" s="10" t="s">
        <v>211</v>
      </c>
      <c r="AF140" s="10" t="s">
        <v>95</v>
      </c>
      <c r="AG140" s="10">
        <v>3</v>
      </c>
      <c r="AH140" s="10">
        <v>0</v>
      </c>
      <c r="AI140" s="27">
        <f>0.117115557857213*60/3</f>
        <v>2.3423111571442603</v>
      </c>
      <c r="AJ140" s="27">
        <f t="shared" si="24"/>
        <v>10</v>
      </c>
      <c r="AK140" s="10">
        <v>1</v>
      </c>
      <c r="AL140" s="10">
        <v>633</v>
      </c>
      <c r="AM140" s="19">
        <f>0.0215+0.025+Table1[[#This Row],[Y_Acryl_Ac]]</f>
        <v>0.30219666666666667</v>
      </c>
      <c r="AN140" s="19">
        <f>Table1[[#This Row],[Y_Acryl_Ac]]/Table1[[#This Row],[X_Ac]]</f>
        <v>0.84612669453667044</v>
      </c>
      <c r="AO140" s="19">
        <v>0.79</v>
      </c>
      <c r="AP140" s="19">
        <f>(95+2.1)%</f>
        <v>0.97099999999999997</v>
      </c>
      <c r="AQ140" s="19">
        <f>Table1[[#This Row],[Y_Acryl_Fa]]/Table1[[#This Row],[Ratio_Ac_Fa]]</f>
        <v>0.25569666666666668</v>
      </c>
      <c r="AR140" s="19">
        <f>Table1[[#This Row],[X_Fa]]*Table1[[#This Row],[S_Acryl_Fa]]</f>
        <v>0.76709000000000005</v>
      </c>
      <c r="AS140" s="28">
        <f t="shared" si="25"/>
        <v>10.462419513432934</v>
      </c>
      <c r="AT140" s="29"/>
      <c r="AU140" s="10" t="s">
        <v>31</v>
      </c>
      <c r="AV140" s="19"/>
      <c r="AW140" s="10" t="s">
        <v>182</v>
      </c>
      <c r="AX140" s="10">
        <v>2017</v>
      </c>
      <c r="AY140" s="10">
        <v>3</v>
      </c>
      <c r="AZ140" s="10"/>
      <c r="BA140" s="20">
        <v>0.68195514955435044</v>
      </c>
      <c r="BB140" s="20">
        <v>2.0458654486630508</v>
      </c>
      <c r="BC140" s="20">
        <f>BA140*60*AR140/AY140</f>
        <v>10.462419513432936</v>
      </c>
      <c r="BD140" s="20">
        <f>BB140*60*AQ140/AY140</f>
        <v>10.462419513432932</v>
      </c>
    </row>
    <row r="141" spans="1:56" s="18" customFormat="1" ht="15.6" customHeight="1">
      <c r="A141" s="10">
        <v>140</v>
      </c>
      <c r="B141" s="13">
        <v>0.8</v>
      </c>
      <c r="C141" s="10" t="s">
        <v>10</v>
      </c>
      <c r="D141" s="10"/>
      <c r="E141" s="27">
        <v>1</v>
      </c>
      <c r="F141" s="10"/>
      <c r="G141" s="10"/>
      <c r="H141" s="27"/>
      <c r="I141" s="10" t="s">
        <v>205</v>
      </c>
      <c r="J141" s="10">
        <v>1</v>
      </c>
      <c r="K141" s="10"/>
      <c r="L141" s="10"/>
      <c r="M141" s="10" t="s">
        <v>7</v>
      </c>
      <c r="N141" s="11">
        <v>2.2000000000000002</v>
      </c>
      <c r="O141" s="11"/>
      <c r="P141" s="11"/>
      <c r="Q141" s="11" t="s">
        <v>29</v>
      </c>
      <c r="R141" s="11">
        <v>0.05</v>
      </c>
      <c r="S141" s="11"/>
      <c r="T141" s="11"/>
      <c r="U141" s="11"/>
      <c r="V141" s="11"/>
      <c r="W141" s="11"/>
      <c r="X141" s="11"/>
      <c r="Y141" s="51">
        <v>113.6</v>
      </c>
      <c r="Z141" s="51">
        <v>250</v>
      </c>
      <c r="AA141" s="11" t="s">
        <v>17</v>
      </c>
      <c r="AB141" s="10">
        <v>1</v>
      </c>
      <c r="AC141" s="20">
        <v>0</v>
      </c>
      <c r="AD141" s="10" t="s">
        <v>43</v>
      </c>
      <c r="AE141" s="10" t="s">
        <v>211</v>
      </c>
      <c r="AF141" s="10" t="s">
        <v>95</v>
      </c>
      <c r="AG141" s="10">
        <v>3</v>
      </c>
      <c r="AH141" s="10">
        <v>0</v>
      </c>
      <c r="AI141" s="27">
        <f>0.117115557857213*60/3</f>
        <v>2.3423111571442603</v>
      </c>
      <c r="AJ141" s="27">
        <f t="shared" si="24"/>
        <v>10</v>
      </c>
      <c r="AK141" s="10">
        <v>1</v>
      </c>
      <c r="AL141" s="10">
        <v>633</v>
      </c>
      <c r="AM141" s="19">
        <f>0.014+0.015+Table1[[#This Row],[Y_Acryl_Ac]]</f>
        <v>0.26448333333333329</v>
      </c>
      <c r="AN141" s="19">
        <f>Table1[[#This Row],[Y_Acryl_Ac]]/Table1[[#This Row],[X_Ac]]</f>
        <v>0.8903522591215578</v>
      </c>
      <c r="AO141" s="19">
        <v>0.71</v>
      </c>
      <c r="AP141" s="19">
        <f>(98+1.5)%</f>
        <v>0.995</v>
      </c>
      <c r="AQ141" s="19">
        <f>Table1[[#This Row],[Y_Acryl_Fa]]/Table1[[#This Row],[Ratio_Ac_Fa]]</f>
        <v>0.23548333333333329</v>
      </c>
      <c r="AR141" s="19">
        <f>Table1[[#This Row],[X_Fa]]*Table1[[#This Row],[S_Acryl_Fa]]</f>
        <v>0.70644999999999991</v>
      </c>
      <c r="AS141" s="28">
        <f t="shared" si="25"/>
        <v>9.6353443080534156</v>
      </c>
      <c r="AT141" s="29"/>
      <c r="AU141" s="10" t="s">
        <v>31</v>
      </c>
      <c r="AV141" s="19"/>
      <c r="AW141" s="10" t="s">
        <v>182</v>
      </c>
      <c r="AX141" s="10">
        <v>2017</v>
      </c>
      <c r="AY141" s="10">
        <v>3</v>
      </c>
      <c r="AZ141" s="10"/>
      <c r="BA141" s="20">
        <v>0.68195514955435044</v>
      </c>
      <c r="BB141" s="20">
        <v>2.0458654486630508</v>
      </c>
      <c r="BC141" s="20">
        <f>BA141*60*AR141/AY141</f>
        <v>9.6353443080534174</v>
      </c>
      <c r="BD141" s="20">
        <f>BB141*60*AQ141/AY141</f>
        <v>9.6353443080534138</v>
      </c>
    </row>
    <row r="142" spans="1:56" s="18" customFormat="1" ht="15.6" customHeight="1">
      <c r="A142" s="10">
        <v>141</v>
      </c>
      <c r="B142" s="13">
        <v>0.7</v>
      </c>
      <c r="C142" s="10" t="s">
        <v>10</v>
      </c>
      <c r="D142" s="10"/>
      <c r="E142" s="27">
        <v>1</v>
      </c>
      <c r="F142" s="10"/>
      <c r="G142" s="10"/>
      <c r="H142" s="27"/>
      <c r="I142" s="10" t="s">
        <v>9</v>
      </c>
      <c r="J142" s="10">
        <v>12</v>
      </c>
      <c r="K142" s="10"/>
      <c r="L142" s="10"/>
      <c r="M142" s="10" t="s">
        <v>10</v>
      </c>
      <c r="N142" s="10">
        <v>1</v>
      </c>
      <c r="O142" s="10"/>
      <c r="P142" s="10"/>
      <c r="Q142" s="10"/>
      <c r="R142" s="11"/>
      <c r="S142" s="11"/>
      <c r="T142" s="11"/>
      <c r="U142" s="11"/>
      <c r="V142" s="11"/>
      <c r="W142" s="11"/>
      <c r="X142" s="11"/>
      <c r="Y142" s="51">
        <v>119.9</v>
      </c>
      <c r="Z142" s="11">
        <v>250</v>
      </c>
      <c r="AA142" s="11" t="s">
        <v>3</v>
      </c>
      <c r="AB142" s="10">
        <v>1</v>
      </c>
      <c r="AC142" s="20">
        <v>0</v>
      </c>
      <c r="AD142" s="11" t="s">
        <v>43</v>
      </c>
      <c r="AE142" s="11" t="s">
        <v>211</v>
      </c>
      <c r="AF142" s="11" t="s">
        <v>95</v>
      </c>
      <c r="AG142" s="11">
        <v>3</v>
      </c>
      <c r="AH142" s="11">
        <v>0</v>
      </c>
      <c r="AI142" s="13">
        <f>8.4/1.22/3</f>
        <v>2.2950819672131151</v>
      </c>
      <c r="AJ142" s="13">
        <f>20/3</f>
        <v>6.666666666666667</v>
      </c>
      <c r="AK142" s="11">
        <v>1</v>
      </c>
      <c r="AL142" s="11">
        <v>673</v>
      </c>
      <c r="AM142" s="14"/>
      <c r="AN142" s="14"/>
      <c r="AO142" s="14">
        <v>0.38500000000000001</v>
      </c>
      <c r="AP142" s="14">
        <v>0.93100000000000005</v>
      </c>
      <c r="AQ142" s="14">
        <f>Table1[[#This Row],[Y_Acryl_Fa]]/Table1[[#This Row],[Ratio_Ac_Fa]]</f>
        <v>0.11947833333333334</v>
      </c>
      <c r="AR142" s="14">
        <f>Table1[[#This Row],[X_Fa]]*Table1[[#This Row],[S_Acryl_Fa]]</f>
        <v>0.358435</v>
      </c>
      <c r="AS142" s="28">
        <f t="shared" si="25"/>
        <v>4.7750404415263121</v>
      </c>
      <c r="AT142" s="16"/>
      <c r="AU142" s="11" t="s">
        <v>75</v>
      </c>
      <c r="AV142" s="17"/>
      <c r="AW142" s="10" t="s">
        <v>182</v>
      </c>
      <c r="AX142" s="10">
        <v>2020</v>
      </c>
      <c r="AY142" s="10">
        <v>3</v>
      </c>
      <c r="AZ142" s="10"/>
      <c r="BA142" s="20">
        <v>0.6660957274716911</v>
      </c>
      <c r="BB142" s="20">
        <v>1.9982871824150732</v>
      </c>
      <c r="BC142" s="20">
        <f>BA142*60*AR142/AY142</f>
        <v>4.7750404415263121</v>
      </c>
      <c r="BD142" s="20">
        <f>BB142*60*AQ142/AY142</f>
        <v>4.7750404415263121</v>
      </c>
    </row>
    <row r="143" spans="1:56" s="18" customFormat="1" ht="15.6" customHeight="1">
      <c r="A143" s="10">
        <v>142</v>
      </c>
      <c r="B143" s="13">
        <v>0.7</v>
      </c>
      <c r="C143" s="10" t="s">
        <v>10</v>
      </c>
      <c r="D143" s="10"/>
      <c r="E143" s="27">
        <v>1</v>
      </c>
      <c r="F143" s="10"/>
      <c r="G143" s="10"/>
      <c r="H143" s="27"/>
      <c r="I143" s="10" t="s">
        <v>9</v>
      </c>
      <c r="J143" s="10">
        <v>12</v>
      </c>
      <c r="K143" s="10"/>
      <c r="L143" s="10"/>
      <c r="M143" s="10" t="s">
        <v>7</v>
      </c>
      <c r="N143" s="11">
        <v>1</v>
      </c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51">
        <v>118.2</v>
      </c>
      <c r="Z143" s="11">
        <v>250</v>
      </c>
      <c r="AA143" s="11" t="s">
        <v>3</v>
      </c>
      <c r="AB143" s="10">
        <v>1</v>
      </c>
      <c r="AC143" s="20">
        <v>0</v>
      </c>
      <c r="AD143" s="11" t="s">
        <v>43</v>
      </c>
      <c r="AE143" s="11" t="s">
        <v>211</v>
      </c>
      <c r="AF143" s="11" t="s">
        <v>95</v>
      </c>
      <c r="AG143" s="11">
        <v>3</v>
      </c>
      <c r="AH143" s="11">
        <v>0</v>
      </c>
      <c r="AI143" s="13">
        <f>8.4/1.22/3</f>
        <v>2.2950819672131151</v>
      </c>
      <c r="AJ143" s="13">
        <f>20/3</f>
        <v>6.666666666666667</v>
      </c>
      <c r="AK143" s="11">
        <v>1</v>
      </c>
      <c r="AL143" s="11">
        <v>673</v>
      </c>
      <c r="AM143" s="14"/>
      <c r="AN143" s="14"/>
      <c r="AO143" s="14">
        <v>0.45200000000000001</v>
      </c>
      <c r="AP143" s="14">
        <v>0.93799999999999994</v>
      </c>
      <c r="AQ143" s="14">
        <f>Table1[[#This Row],[Y_Acryl_Fa]]/Table1[[#This Row],[Ratio_Ac_Fa]]</f>
        <v>0.14132533333333333</v>
      </c>
      <c r="AR143" s="14">
        <f>Table1[[#This Row],[X_Fa]]*Table1[[#This Row],[S_Acryl_Fa]]</f>
        <v>0.42397599999999996</v>
      </c>
      <c r="AS143" s="28">
        <f t="shared" si="25"/>
        <v>5.6481720430107538</v>
      </c>
      <c r="AT143" s="16">
        <v>1</v>
      </c>
      <c r="AU143" s="11" t="s">
        <v>75</v>
      </c>
      <c r="AV143" s="17"/>
      <c r="AW143" s="10" t="s">
        <v>182</v>
      </c>
      <c r="AX143" s="10">
        <v>2020</v>
      </c>
      <c r="AY143" s="10">
        <v>3</v>
      </c>
      <c r="AZ143" s="10"/>
      <c r="BA143" s="20">
        <v>0.6660957274716911</v>
      </c>
      <c r="BB143" s="20">
        <v>1.9982871824150732</v>
      </c>
      <c r="BC143" s="20">
        <f>BA143*60*AR143/AY143</f>
        <v>5.6481720430107538</v>
      </c>
      <c r="BD143" s="20">
        <f>BB143*60*AQ143/AY143</f>
        <v>5.6481720430107538</v>
      </c>
    </row>
    <row r="144" spans="1:56" s="18" customFormat="1" ht="15.6" customHeight="1">
      <c r="A144" s="10">
        <v>143</v>
      </c>
      <c r="B144" s="13">
        <v>0.7</v>
      </c>
      <c r="C144" s="10" t="s">
        <v>10</v>
      </c>
      <c r="D144" s="10"/>
      <c r="E144" s="27">
        <v>1</v>
      </c>
      <c r="F144" s="10"/>
      <c r="G144" s="10"/>
      <c r="H144" s="27"/>
      <c r="I144" s="10" t="s">
        <v>108</v>
      </c>
      <c r="J144" s="10">
        <v>12</v>
      </c>
      <c r="K144" s="10"/>
      <c r="L144" s="10"/>
      <c r="M144" s="10" t="s">
        <v>7</v>
      </c>
      <c r="N144" s="11">
        <v>1</v>
      </c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51">
        <v>97</v>
      </c>
      <c r="Z144" s="11">
        <v>250</v>
      </c>
      <c r="AA144" s="11" t="s">
        <v>3</v>
      </c>
      <c r="AB144" s="10">
        <v>1</v>
      </c>
      <c r="AC144" s="20">
        <v>0</v>
      </c>
      <c r="AD144" s="11" t="s">
        <v>43</v>
      </c>
      <c r="AE144" s="11" t="s">
        <v>211</v>
      </c>
      <c r="AF144" s="10" t="s">
        <v>95</v>
      </c>
      <c r="AG144" s="11">
        <v>3</v>
      </c>
      <c r="AH144" s="11">
        <v>0</v>
      </c>
      <c r="AI144" s="13">
        <f>8.4/1.22/3</f>
        <v>2.2950819672131151</v>
      </c>
      <c r="AJ144" s="13">
        <f>20/3</f>
        <v>6.666666666666667</v>
      </c>
      <c r="AK144" s="11">
        <v>1</v>
      </c>
      <c r="AL144" s="11">
        <v>633</v>
      </c>
      <c r="AM144" s="14"/>
      <c r="AN144" s="14"/>
      <c r="AO144" s="14">
        <v>0.34839999999999999</v>
      </c>
      <c r="AP144" s="14">
        <v>0.87809999999999999</v>
      </c>
      <c r="AQ144" s="14">
        <f>Table1[[#This Row],[Y_Acryl_Fa]]/Table1[[#This Row],[Ratio_Ac_Fa]]</f>
        <v>0.10197667999999999</v>
      </c>
      <c r="AR144" s="14">
        <f>Table1[[#This Row],[X_Fa]]*Table1[[#This Row],[S_Acryl_Fa]]</f>
        <v>0.30593003999999996</v>
      </c>
      <c r="AS144" s="28">
        <f t="shared" si="25"/>
        <v>4.0755738509848705</v>
      </c>
      <c r="AT144" s="16"/>
      <c r="AU144" s="11" t="s">
        <v>75</v>
      </c>
      <c r="AV144" s="17"/>
      <c r="AW144" s="10" t="s">
        <v>182</v>
      </c>
      <c r="AX144" s="10">
        <v>2020</v>
      </c>
      <c r="AY144" s="10">
        <v>3</v>
      </c>
      <c r="AZ144" s="10"/>
      <c r="BA144" s="20">
        <v>0.6660957274716911</v>
      </c>
      <c r="BB144" s="20">
        <v>1.9982871824150732</v>
      </c>
      <c r="BC144" s="20">
        <f>BA144*60*AR144/AY144</f>
        <v>4.0755738509848713</v>
      </c>
      <c r="BD144" s="20">
        <f>BB144*60*AQ144/AY144</f>
        <v>4.0755738509848705</v>
      </c>
    </row>
    <row r="145" spans="1:56" s="18" customFormat="1">
      <c r="A145" s="10">
        <v>144</v>
      </c>
      <c r="B145" s="13">
        <v>0</v>
      </c>
      <c r="C145" s="10"/>
      <c r="D145" s="10"/>
      <c r="E145" s="27"/>
      <c r="F145" s="10"/>
      <c r="G145" s="10"/>
      <c r="H145" s="27"/>
      <c r="I145" s="10" t="s">
        <v>11</v>
      </c>
      <c r="J145" s="10">
        <v>0.53</v>
      </c>
      <c r="K145" s="10"/>
      <c r="L145" s="10"/>
      <c r="M145" s="10" t="s">
        <v>7</v>
      </c>
      <c r="N145" s="10">
        <v>1</v>
      </c>
      <c r="O145" s="10"/>
      <c r="P145" s="10"/>
      <c r="Q145" s="10" t="s">
        <v>348</v>
      </c>
      <c r="R145" s="10">
        <f t="shared" ref="R145:R150" si="26">0.53/2*2</f>
        <v>0.53</v>
      </c>
      <c r="S145" s="10"/>
      <c r="T145" s="10"/>
      <c r="U145" s="10"/>
      <c r="V145" s="10"/>
      <c r="W145" s="10"/>
      <c r="X145" s="10"/>
      <c r="Y145" s="50">
        <v>52.6</v>
      </c>
      <c r="Z145" s="50"/>
      <c r="AA145" s="10" t="s">
        <v>65</v>
      </c>
      <c r="AB145" s="10">
        <v>1</v>
      </c>
      <c r="AC145" s="20">
        <v>0</v>
      </c>
      <c r="AD145" s="10" t="s">
        <v>43</v>
      </c>
      <c r="AE145" s="10" t="s">
        <v>210</v>
      </c>
      <c r="AF145" s="10" t="s">
        <v>95</v>
      </c>
      <c r="AG145" s="10">
        <v>0.2</v>
      </c>
      <c r="AH145" s="10">
        <v>0</v>
      </c>
      <c r="AI145" s="27">
        <v>1</v>
      </c>
      <c r="AJ145" s="27"/>
      <c r="AK145" s="10">
        <v>1</v>
      </c>
      <c r="AL145" s="10">
        <v>633</v>
      </c>
      <c r="AM145" s="19">
        <v>0.5</v>
      </c>
      <c r="AN145" s="19">
        <v>0.71</v>
      </c>
      <c r="AO145" s="19"/>
      <c r="AP145" s="19"/>
      <c r="AQ145" s="19">
        <f>Table1[[#This Row],[X_Ac]]*Table1[[#This Row],[S_Acryl_Ac]]</f>
        <v>0.35499999999999998</v>
      </c>
      <c r="AR145" s="19">
        <f>Table1[[#This Row],[Y_Acryl_Ac]]*Table1[[#This Row],[Ratio_Ac_Fa]]</f>
        <v>7.0999999999999994E-2</v>
      </c>
      <c r="AS145" s="28">
        <f t="shared" si="25"/>
        <v>0.82644918353925156</v>
      </c>
      <c r="AT145" s="29"/>
      <c r="AU145" s="10" t="s">
        <v>32</v>
      </c>
      <c r="AV145" s="19"/>
      <c r="AW145" s="10" t="s">
        <v>183</v>
      </c>
      <c r="AX145" s="10">
        <v>2022</v>
      </c>
      <c r="AY145" s="10">
        <v>3</v>
      </c>
      <c r="AZ145" s="10"/>
      <c r="BA145" s="20">
        <v>0.58200646728116312</v>
      </c>
      <c r="BB145" s="20">
        <v>0.11640129345623262</v>
      </c>
      <c r="BC145" s="20">
        <f>BA145*60*AR145/AY145</f>
        <v>0.82644918353925156</v>
      </c>
      <c r="BD145" s="20">
        <f>BB145*60*AQ145/AY145</f>
        <v>0.82644918353925156</v>
      </c>
    </row>
    <row r="146" spans="1:56" s="18" customFormat="1">
      <c r="A146" s="10">
        <v>145</v>
      </c>
      <c r="B146" s="13">
        <v>0</v>
      </c>
      <c r="C146" s="10"/>
      <c r="D146" s="10"/>
      <c r="E146" s="27"/>
      <c r="F146" s="10"/>
      <c r="G146" s="10"/>
      <c r="H146" s="27"/>
      <c r="I146" s="10" t="s">
        <v>11</v>
      </c>
      <c r="J146" s="10">
        <v>0.53</v>
      </c>
      <c r="K146" s="10"/>
      <c r="L146" s="10"/>
      <c r="M146" s="10" t="s">
        <v>7</v>
      </c>
      <c r="N146" s="10">
        <v>1</v>
      </c>
      <c r="O146" s="10"/>
      <c r="P146" s="10"/>
      <c r="Q146" s="10" t="s">
        <v>348</v>
      </c>
      <c r="R146" s="10">
        <f t="shared" si="26"/>
        <v>0.53</v>
      </c>
      <c r="S146" s="10"/>
      <c r="T146" s="10"/>
      <c r="U146" s="10"/>
      <c r="V146" s="10"/>
      <c r="W146" s="10"/>
      <c r="X146" s="10"/>
      <c r="Y146" s="50">
        <v>52.6</v>
      </c>
      <c r="Z146" s="50"/>
      <c r="AA146" s="10" t="s">
        <v>65</v>
      </c>
      <c r="AB146" s="10">
        <v>1</v>
      </c>
      <c r="AC146" s="20">
        <v>0</v>
      </c>
      <c r="AD146" s="10" t="s">
        <v>43</v>
      </c>
      <c r="AE146" s="10" t="s">
        <v>210</v>
      </c>
      <c r="AF146" s="10" t="s">
        <v>95</v>
      </c>
      <c r="AG146" s="10">
        <v>2.5</v>
      </c>
      <c r="AH146" s="10">
        <v>0</v>
      </c>
      <c r="AI146" s="27">
        <v>1</v>
      </c>
      <c r="AJ146" s="27"/>
      <c r="AK146" s="10">
        <v>1</v>
      </c>
      <c r="AL146" s="10">
        <v>633</v>
      </c>
      <c r="AM146" s="19">
        <v>0.35</v>
      </c>
      <c r="AN146" s="19">
        <v>0.51</v>
      </c>
      <c r="AO146" s="19"/>
      <c r="AP146" s="19"/>
      <c r="AQ146" s="19">
        <f>Table1[[#This Row],[X_Ac]]*Table1[[#This Row],[S_Acryl_Ac]]</f>
        <v>0.17849999999999999</v>
      </c>
      <c r="AR146" s="19">
        <f>Table1[[#This Row],[Y_Acryl_Ac]]*Table1[[#This Row],[Ratio_Ac_Fa]]</f>
        <v>0.44624999999999998</v>
      </c>
      <c r="AS146" s="28">
        <f t="shared" si="25"/>
        <v>2.0510339785271929</v>
      </c>
      <c r="AT146" s="29"/>
      <c r="AU146" s="10" t="s">
        <v>32</v>
      </c>
      <c r="AV146" s="19"/>
      <c r="AW146" s="10" t="s">
        <v>183</v>
      </c>
      <c r="AX146" s="10">
        <v>2022</v>
      </c>
      <c r="AY146" s="10">
        <v>3</v>
      </c>
      <c r="AZ146" s="10"/>
      <c r="BA146" s="20">
        <v>0.22980772868652016</v>
      </c>
      <c r="BB146" s="20">
        <v>0.5745193217163006</v>
      </c>
      <c r="BC146" s="20">
        <f>BA146*60*AR146/AY146</f>
        <v>2.0510339785271925</v>
      </c>
      <c r="BD146" s="20">
        <f>BB146*60*AQ146/AY146</f>
        <v>2.0510339785271934</v>
      </c>
    </row>
    <row r="147" spans="1:56" s="18" customFormat="1">
      <c r="A147" s="10">
        <v>146</v>
      </c>
      <c r="B147" s="13">
        <v>0</v>
      </c>
      <c r="C147" s="10"/>
      <c r="D147" s="10"/>
      <c r="E147" s="27"/>
      <c r="F147" s="10"/>
      <c r="G147" s="10"/>
      <c r="H147" s="27"/>
      <c r="I147" s="10" t="s">
        <v>11</v>
      </c>
      <c r="J147" s="10">
        <v>0.53</v>
      </c>
      <c r="K147" s="10"/>
      <c r="L147" s="10"/>
      <c r="M147" s="10" t="s">
        <v>7</v>
      </c>
      <c r="N147" s="10">
        <v>1</v>
      </c>
      <c r="O147" s="10"/>
      <c r="P147" s="10"/>
      <c r="Q147" s="10" t="s">
        <v>348</v>
      </c>
      <c r="R147" s="10">
        <f t="shared" si="26"/>
        <v>0.53</v>
      </c>
      <c r="S147" s="10"/>
      <c r="T147" s="10"/>
      <c r="U147" s="10"/>
      <c r="V147" s="10"/>
      <c r="W147" s="10"/>
      <c r="X147" s="10"/>
      <c r="Y147" s="50">
        <v>52.6</v>
      </c>
      <c r="Z147" s="50"/>
      <c r="AA147" s="10" t="s">
        <v>65</v>
      </c>
      <c r="AB147" s="10">
        <v>1</v>
      </c>
      <c r="AC147" s="20">
        <v>0</v>
      </c>
      <c r="AD147" s="10" t="s">
        <v>43</v>
      </c>
      <c r="AE147" s="10" t="s">
        <v>210</v>
      </c>
      <c r="AF147" s="10" t="s">
        <v>95</v>
      </c>
      <c r="AG147" s="10">
        <v>0.4</v>
      </c>
      <c r="AH147" s="10">
        <v>0</v>
      </c>
      <c r="AI147" s="27">
        <v>1.66</v>
      </c>
      <c r="AJ147" s="27"/>
      <c r="AK147" s="10">
        <v>1</v>
      </c>
      <c r="AL147" s="10">
        <v>633</v>
      </c>
      <c r="AM147" s="19">
        <v>0.54</v>
      </c>
      <c r="AN147" s="19">
        <v>0.62</v>
      </c>
      <c r="AO147" s="19"/>
      <c r="AP147" s="19"/>
      <c r="AQ147" s="19">
        <f>Table1[[#This Row],[X_Ac]]*Table1[[#This Row],[S_Acryl_Ac]]</f>
        <v>0.33480000000000004</v>
      </c>
      <c r="AR147" s="19">
        <f>Table1[[#This Row],[Y_Acryl_Ac]]*Table1[[#This Row],[Ratio_Ac_Fa]]</f>
        <v>0.13392000000000001</v>
      </c>
      <c r="AS147" s="28">
        <f t="shared" si="25"/>
        <v>2.2833830577913345</v>
      </c>
      <c r="AT147" s="29"/>
      <c r="AU147" s="10" t="s">
        <v>32</v>
      </c>
      <c r="AV147" s="19"/>
      <c r="AW147" s="10" t="s">
        <v>183</v>
      </c>
      <c r="AX147" s="10">
        <v>2022</v>
      </c>
      <c r="AY147" s="10">
        <v>3</v>
      </c>
      <c r="AZ147" s="10"/>
      <c r="BA147" s="20">
        <v>0.85251756936653755</v>
      </c>
      <c r="BB147" s="20">
        <v>0.34100702774661501</v>
      </c>
      <c r="BC147" s="20">
        <f>BA147*60*AR147/AY147</f>
        <v>2.2833830577913345</v>
      </c>
      <c r="BD147" s="20">
        <f>BB147*60*AQ147/AY147</f>
        <v>2.2833830577913345</v>
      </c>
    </row>
    <row r="148" spans="1:56" s="18" customFormat="1">
      <c r="A148" s="10">
        <v>147</v>
      </c>
      <c r="B148" s="13">
        <v>0</v>
      </c>
      <c r="C148" s="10"/>
      <c r="D148" s="10"/>
      <c r="E148" s="27"/>
      <c r="F148" s="10"/>
      <c r="G148" s="10"/>
      <c r="H148" s="27"/>
      <c r="I148" s="10" t="s">
        <v>11</v>
      </c>
      <c r="J148" s="10">
        <v>0.53</v>
      </c>
      <c r="K148" s="10"/>
      <c r="L148" s="10"/>
      <c r="M148" s="10" t="s">
        <v>7</v>
      </c>
      <c r="N148" s="10">
        <v>1</v>
      </c>
      <c r="O148" s="10"/>
      <c r="P148" s="10"/>
      <c r="Q148" s="10" t="s">
        <v>348</v>
      </c>
      <c r="R148" s="10">
        <f t="shared" si="26"/>
        <v>0.53</v>
      </c>
      <c r="S148" s="10"/>
      <c r="T148" s="10"/>
      <c r="U148" s="10"/>
      <c r="V148" s="10"/>
      <c r="W148" s="10"/>
      <c r="X148" s="10"/>
      <c r="Y148" s="50">
        <v>55.5</v>
      </c>
      <c r="Z148" s="50"/>
      <c r="AA148" s="10" t="s">
        <v>65</v>
      </c>
      <c r="AB148" s="10">
        <v>1</v>
      </c>
      <c r="AC148" s="20">
        <v>0</v>
      </c>
      <c r="AD148" s="10" t="s">
        <v>43</v>
      </c>
      <c r="AE148" s="10" t="s">
        <v>210</v>
      </c>
      <c r="AF148" s="10" t="s">
        <v>95</v>
      </c>
      <c r="AG148" s="10">
        <v>0.4</v>
      </c>
      <c r="AH148" s="10">
        <v>0</v>
      </c>
      <c r="AI148" s="27">
        <v>1</v>
      </c>
      <c r="AJ148" s="27"/>
      <c r="AK148" s="10">
        <v>1</v>
      </c>
      <c r="AL148" s="10">
        <v>633</v>
      </c>
      <c r="AM148" s="19">
        <v>0.50900000000000001</v>
      </c>
      <c r="AN148" s="19">
        <v>0.61899999999999999</v>
      </c>
      <c r="AO148" s="19"/>
      <c r="AP148" s="19"/>
      <c r="AQ148" s="19">
        <f>Table1[[#This Row],[X_Ac]]*Table1[[#This Row],[S_Acryl_Ac]]</f>
        <v>0.31507099999999999</v>
      </c>
      <c r="AR148" s="19">
        <f>Table1[[#This Row],[Y_Acryl_Ac]]*Table1[[#This Row],[Ratio_Ac_Fa]]</f>
        <v>0.12602840000000001</v>
      </c>
      <c r="AS148" s="28">
        <f t="shared" si="25"/>
        <v>1.2944750028813707</v>
      </c>
      <c r="AT148" s="16"/>
      <c r="AU148" s="10" t="s">
        <v>185</v>
      </c>
      <c r="AV148" s="30"/>
      <c r="AW148" s="10" t="s">
        <v>183</v>
      </c>
      <c r="AX148" s="10">
        <v>2023</v>
      </c>
      <c r="AY148" s="10">
        <v>3</v>
      </c>
      <c r="AZ148" s="10"/>
      <c r="BA148" s="20">
        <v>0.51356480082321543</v>
      </c>
      <c r="BB148" s="20">
        <v>0.20542592032928619</v>
      </c>
      <c r="BC148" s="20">
        <f>BA148*60*AR148/AY148</f>
        <v>1.2944750028813707</v>
      </c>
      <c r="BD148" s="20">
        <f>BB148*60*AQ148/AY148</f>
        <v>1.2944750028813707</v>
      </c>
    </row>
    <row r="149" spans="1:56" s="18" customFormat="1">
      <c r="A149" s="10">
        <v>148</v>
      </c>
      <c r="B149" s="13">
        <v>0</v>
      </c>
      <c r="C149" s="10"/>
      <c r="D149" s="10"/>
      <c r="E149" s="27"/>
      <c r="F149" s="10"/>
      <c r="G149" s="10"/>
      <c r="H149" s="27"/>
      <c r="I149" s="10" t="s">
        <v>11</v>
      </c>
      <c r="J149" s="10">
        <v>0.53</v>
      </c>
      <c r="K149" s="10"/>
      <c r="L149" s="10"/>
      <c r="M149" s="10" t="s">
        <v>7</v>
      </c>
      <c r="N149" s="10">
        <v>1</v>
      </c>
      <c r="O149" s="10"/>
      <c r="P149" s="10"/>
      <c r="Q149" s="10" t="s">
        <v>348</v>
      </c>
      <c r="R149" s="10">
        <f t="shared" si="26"/>
        <v>0.53</v>
      </c>
      <c r="S149" s="10"/>
      <c r="T149" s="10"/>
      <c r="U149" s="10" t="s">
        <v>0</v>
      </c>
      <c r="V149" s="20">
        <f>0.02*(Table1[[#This Row],[Atom_Mol_1]]*79.866+Table1[[#This Row],[Atom_Mol_2]]*141.94+Table1[[#This Row],[Atom_Mol_3]]*80.06)/281.81</f>
        <v>1.6088909548986906E-2</v>
      </c>
      <c r="W149" s="10"/>
      <c r="X149" s="20"/>
      <c r="Y149" s="50">
        <v>46.4</v>
      </c>
      <c r="Z149" s="50">
        <v>55.5</v>
      </c>
      <c r="AA149" s="10" t="s">
        <v>186</v>
      </c>
      <c r="AB149" s="10">
        <v>1</v>
      </c>
      <c r="AC149" s="20">
        <v>0</v>
      </c>
      <c r="AD149" s="10" t="s">
        <v>43</v>
      </c>
      <c r="AE149" s="10" t="s">
        <v>210</v>
      </c>
      <c r="AF149" s="10" t="s">
        <v>95</v>
      </c>
      <c r="AG149" s="10">
        <v>0.4</v>
      </c>
      <c r="AH149" s="10">
        <v>0</v>
      </c>
      <c r="AI149" s="27">
        <v>1</v>
      </c>
      <c r="AJ149" s="27"/>
      <c r="AK149" s="10">
        <v>1</v>
      </c>
      <c r="AL149" s="10">
        <v>633</v>
      </c>
      <c r="AM149" s="19">
        <v>0.52680000000000005</v>
      </c>
      <c r="AN149" s="19">
        <v>0.81599999999999995</v>
      </c>
      <c r="AO149" s="19"/>
      <c r="AP149" s="19"/>
      <c r="AQ149" s="19">
        <f>Table1[[#This Row],[X_Ac]]*Table1[[#This Row],[S_Acryl_Ac]]</f>
        <v>0.4298688</v>
      </c>
      <c r="AR149" s="19">
        <f>Table1[[#This Row],[Y_Acryl_Ac]]*Table1[[#This Row],[Ratio_Ac_Fa]]</f>
        <v>0.17194752000000002</v>
      </c>
      <c r="AS149" s="28">
        <f t="shared" si="25"/>
        <v>1.7661238772169172</v>
      </c>
      <c r="AT149" s="16"/>
      <c r="AU149" s="10" t="s">
        <v>185</v>
      </c>
      <c r="AV149" s="30"/>
      <c r="AW149" s="10" t="s">
        <v>183</v>
      </c>
      <c r="AX149" s="10">
        <v>2023</v>
      </c>
      <c r="AY149" s="10">
        <v>3</v>
      </c>
      <c r="AZ149" s="10"/>
      <c r="BA149" s="20">
        <v>0.51356480082321543</v>
      </c>
      <c r="BB149" s="20">
        <v>0.20542592032928619</v>
      </c>
      <c r="BC149" s="20">
        <f>BA149*60*AR149/AY149</f>
        <v>1.7661238772169172</v>
      </c>
      <c r="BD149" s="20">
        <f>BB149*60*AQ149/AY149</f>
        <v>1.7661238772169172</v>
      </c>
    </row>
    <row r="150" spans="1:56" s="18" customFormat="1">
      <c r="A150" s="10">
        <v>149</v>
      </c>
      <c r="B150" s="13">
        <v>0</v>
      </c>
      <c r="C150" s="10"/>
      <c r="D150" s="10"/>
      <c r="E150" s="27"/>
      <c r="F150" s="10"/>
      <c r="G150" s="10"/>
      <c r="H150" s="27"/>
      <c r="I150" s="10" t="s">
        <v>11</v>
      </c>
      <c r="J150" s="10">
        <v>0.53</v>
      </c>
      <c r="K150" s="10"/>
      <c r="L150" s="10"/>
      <c r="M150" s="10" t="s">
        <v>7</v>
      </c>
      <c r="N150" s="10">
        <v>1</v>
      </c>
      <c r="O150" s="10"/>
      <c r="P150" s="10"/>
      <c r="Q150" s="10" t="s">
        <v>348</v>
      </c>
      <c r="R150" s="10">
        <f t="shared" si="26"/>
        <v>0.53</v>
      </c>
      <c r="S150" s="10"/>
      <c r="T150" s="10"/>
      <c r="U150" s="10" t="s">
        <v>0</v>
      </c>
      <c r="V150" s="20">
        <f>0.02*(Table1[[#This Row],[Atom_Mol_1]]*79.866+Table1[[#This Row],[Atom_Mol_2]]*141.94+Table1[[#This Row],[Atom_Mol_3]]*80.06)/281.81</f>
        <v>1.6088909548986906E-2</v>
      </c>
      <c r="W150" s="10"/>
      <c r="X150" s="20"/>
      <c r="Y150" s="50">
        <v>46.4</v>
      </c>
      <c r="Z150" s="50">
        <v>55.5</v>
      </c>
      <c r="AA150" s="10" t="s">
        <v>186</v>
      </c>
      <c r="AB150" s="10">
        <v>1</v>
      </c>
      <c r="AC150" s="20">
        <v>0</v>
      </c>
      <c r="AD150" s="10" t="s">
        <v>43</v>
      </c>
      <c r="AE150" s="10" t="s">
        <v>210</v>
      </c>
      <c r="AF150" s="10" t="s">
        <v>95</v>
      </c>
      <c r="AG150" s="10">
        <v>2.5</v>
      </c>
      <c r="AH150" s="10">
        <v>0</v>
      </c>
      <c r="AI150" s="27">
        <v>1</v>
      </c>
      <c r="AJ150" s="27"/>
      <c r="AK150" s="10">
        <v>1</v>
      </c>
      <c r="AL150" s="10">
        <v>633</v>
      </c>
      <c r="AM150" s="19">
        <v>0.27289999999999998</v>
      </c>
      <c r="AN150" s="19">
        <v>0.92200000000000004</v>
      </c>
      <c r="AO150" s="19"/>
      <c r="AP150" s="19"/>
      <c r="AQ150" s="19">
        <f>Table1[[#This Row],[X_Ac]]*Table1[[#This Row],[S_Acryl_Ac]]</f>
        <v>0.2516138</v>
      </c>
      <c r="AR150" s="19">
        <f>Table1[[#This Row],[Y_Acryl_Ac]]*Table1[[#This Row],[Ratio_Ac_Fa]]</f>
        <v>0.62903449999999994</v>
      </c>
      <c r="AS150" s="28">
        <f t="shared" si="25"/>
        <v>2.8911397942092174</v>
      </c>
      <c r="AT150" s="16"/>
      <c r="AU150" s="10" t="s">
        <v>185</v>
      </c>
      <c r="AV150" s="30"/>
      <c r="AW150" s="10" t="s">
        <v>183</v>
      </c>
      <c r="AX150" s="10">
        <v>2023</v>
      </c>
      <c r="AY150" s="10">
        <v>3</v>
      </c>
      <c r="AZ150" s="10"/>
      <c r="BA150" s="20">
        <v>0.22980772868652016</v>
      </c>
      <c r="BB150" s="20">
        <v>0.5745193217163006</v>
      </c>
      <c r="BC150" s="20">
        <f>BA150*60*AR150/AY150</f>
        <v>2.891139794209217</v>
      </c>
      <c r="BD150" s="20">
        <f>BB150*60*AQ150/AY150</f>
        <v>2.8911397942092183</v>
      </c>
    </row>
    <row r="151" spans="1:56" s="18" customFormat="1">
      <c r="A151" s="10">
        <v>150</v>
      </c>
      <c r="B151" s="13">
        <v>0</v>
      </c>
      <c r="C151" s="10"/>
      <c r="D151" s="10"/>
      <c r="E151" s="27"/>
      <c r="F151" s="10"/>
      <c r="G151" s="10"/>
      <c r="H151" s="27"/>
      <c r="I151" s="10" t="s">
        <v>11</v>
      </c>
      <c r="J151" s="10">
        <v>0.94</v>
      </c>
      <c r="K151" s="10"/>
      <c r="L151" s="10"/>
      <c r="M151" s="10" t="s">
        <v>7</v>
      </c>
      <c r="N151" s="10">
        <v>1</v>
      </c>
      <c r="O151" s="10"/>
      <c r="P151" s="10"/>
      <c r="Q151" s="10" t="s">
        <v>348</v>
      </c>
      <c r="R151" s="10">
        <v>0.94</v>
      </c>
      <c r="S151" s="10"/>
      <c r="T151" s="10"/>
      <c r="U151" s="10"/>
      <c r="V151" s="10"/>
      <c r="W151" s="10"/>
      <c r="X151" s="10"/>
      <c r="Y151" s="50">
        <v>16.3</v>
      </c>
      <c r="Z151" s="10"/>
      <c r="AA151" s="10" t="s">
        <v>65</v>
      </c>
      <c r="AB151" s="10">
        <v>1</v>
      </c>
      <c r="AC151" s="20">
        <f>21/(79+21)</f>
        <v>0.21</v>
      </c>
      <c r="AD151" s="10" t="s">
        <v>43</v>
      </c>
      <c r="AE151" s="10" t="s">
        <v>210</v>
      </c>
      <c r="AF151" s="10" t="s">
        <v>95</v>
      </c>
      <c r="AG151" s="10">
        <v>0.4</v>
      </c>
      <c r="AH151" s="10">
        <v>0</v>
      </c>
      <c r="AI151" s="27">
        <v>1</v>
      </c>
      <c r="AJ151" s="27">
        <f>30/2</f>
        <v>15</v>
      </c>
      <c r="AK151" s="10">
        <v>1</v>
      </c>
      <c r="AL151" s="10">
        <v>633</v>
      </c>
      <c r="AM151" s="19">
        <v>0.53059999999999996</v>
      </c>
      <c r="AN151" s="19">
        <v>0.74809999999999999</v>
      </c>
      <c r="AO151" s="19"/>
      <c r="AP151" s="19"/>
      <c r="AQ151" s="19">
        <f>Table1[[#This Row],[X_Ac]]*Table1[[#This Row],[S_Acryl_Ac]]</f>
        <v>0.39694185999999998</v>
      </c>
      <c r="AR151" s="19">
        <f>Table1[[#This Row],[Y_Acryl_Ac]]*Table1[[#This Row],[Ratio_Ac_Fa]]</f>
        <v>0.158776744</v>
      </c>
      <c r="AS151" s="28">
        <f t="shared" si="25"/>
        <v>1.6308429381543732</v>
      </c>
      <c r="AT151" s="16"/>
      <c r="AU151" s="10" t="s">
        <v>184</v>
      </c>
      <c r="AV151" s="30"/>
      <c r="AW151" s="10" t="s">
        <v>183</v>
      </c>
      <c r="AX151" s="10">
        <v>2023</v>
      </c>
      <c r="AY151" s="10">
        <v>2</v>
      </c>
      <c r="AZ151" s="10"/>
      <c r="BA151" s="20">
        <v>0.34237653388214362</v>
      </c>
      <c r="BB151" s="20">
        <v>0.13695061355285745</v>
      </c>
      <c r="BC151" s="20">
        <f>BA151*60*AR151/AY151</f>
        <v>1.6308429381543732</v>
      </c>
      <c r="BD151" s="20">
        <f>BB151*60*AQ151/AY151</f>
        <v>1.6308429381543732</v>
      </c>
    </row>
    <row r="152" spans="1:56" s="18" customFormat="1">
      <c r="A152" s="10">
        <v>151</v>
      </c>
      <c r="B152" s="13">
        <v>0</v>
      </c>
      <c r="C152" s="10"/>
      <c r="D152" s="10"/>
      <c r="E152" s="27"/>
      <c r="F152" s="10"/>
      <c r="G152" s="10"/>
      <c r="H152" s="27"/>
      <c r="I152" s="10" t="s">
        <v>11</v>
      </c>
      <c r="J152" s="10">
        <v>0.94</v>
      </c>
      <c r="K152" s="10"/>
      <c r="L152" s="10"/>
      <c r="M152" s="10" t="s">
        <v>7</v>
      </c>
      <c r="N152" s="10">
        <v>1</v>
      </c>
      <c r="O152" s="10"/>
      <c r="P152" s="10"/>
      <c r="Q152" s="10" t="s">
        <v>348</v>
      </c>
      <c r="R152" s="10">
        <v>0.94</v>
      </c>
      <c r="S152" s="10"/>
      <c r="T152" s="10"/>
      <c r="U152" s="10"/>
      <c r="V152" s="10"/>
      <c r="W152" s="10"/>
      <c r="X152" s="10"/>
      <c r="Y152" s="50">
        <v>16.3</v>
      </c>
      <c r="Z152" s="10"/>
      <c r="AA152" s="10" t="s">
        <v>65</v>
      </c>
      <c r="AB152" s="10">
        <v>1</v>
      </c>
      <c r="AC152" s="20">
        <f>21/(79+21)</f>
        <v>0.21</v>
      </c>
      <c r="AD152" s="10" t="s">
        <v>43</v>
      </c>
      <c r="AE152" s="10" t="s">
        <v>210</v>
      </c>
      <c r="AF152" s="10" t="s">
        <v>95</v>
      </c>
      <c r="AG152" s="10">
        <v>2.5</v>
      </c>
      <c r="AH152" s="10">
        <v>0</v>
      </c>
      <c r="AI152" s="27">
        <v>1</v>
      </c>
      <c r="AJ152" s="27">
        <f>30/2</f>
        <v>15</v>
      </c>
      <c r="AK152" s="10">
        <v>1</v>
      </c>
      <c r="AL152" s="10">
        <v>633</v>
      </c>
      <c r="AM152" s="19">
        <v>0.47239999999999999</v>
      </c>
      <c r="AN152" s="19">
        <v>0.4844</v>
      </c>
      <c r="AO152" s="19"/>
      <c r="AP152" s="19"/>
      <c r="AQ152" s="19">
        <f>Table1[[#This Row],[X_Ac]]*Table1[[#This Row],[S_Acryl_Ac]]</f>
        <v>0.22883055999999999</v>
      </c>
      <c r="AR152" s="19">
        <f>Table1[[#This Row],[Y_Acryl_Ac]]*Table1[[#This Row],[Ratio_Ac_Fa]]</f>
        <v>0.57207639999999993</v>
      </c>
      <c r="AS152" s="28">
        <f t="shared" si="25"/>
        <v>2.6293515623832242</v>
      </c>
      <c r="AT152" s="16"/>
      <c r="AU152" s="10" t="s">
        <v>184</v>
      </c>
      <c r="AV152" s="30"/>
      <c r="AW152" s="10" t="s">
        <v>183</v>
      </c>
      <c r="AX152" s="10">
        <v>2023</v>
      </c>
      <c r="AY152" s="10">
        <v>2</v>
      </c>
      <c r="AZ152" s="10"/>
      <c r="BA152" s="20">
        <v>0.15320515245768015</v>
      </c>
      <c r="BB152" s="20">
        <v>0.38301288114420035</v>
      </c>
      <c r="BC152" s="20">
        <f>BA152*60*AR152/AY152</f>
        <v>2.6293515623832242</v>
      </c>
      <c r="BD152" s="20">
        <f>BB152*60*AQ152/AY152</f>
        <v>2.6293515623832242</v>
      </c>
    </row>
    <row r="153" spans="1:56" s="18" customFormat="1">
      <c r="A153" s="10">
        <v>152</v>
      </c>
      <c r="B153" s="13">
        <v>0</v>
      </c>
      <c r="C153" s="10"/>
      <c r="D153" s="10"/>
      <c r="E153" s="27"/>
      <c r="F153" s="10"/>
      <c r="G153" s="10"/>
      <c r="H153" s="27"/>
      <c r="I153" s="10" t="s">
        <v>11</v>
      </c>
      <c r="J153" s="10">
        <v>0.94</v>
      </c>
      <c r="K153" s="10"/>
      <c r="L153" s="10"/>
      <c r="M153" s="10" t="s">
        <v>7</v>
      </c>
      <c r="N153" s="10">
        <v>1</v>
      </c>
      <c r="O153" s="10"/>
      <c r="P153" s="10"/>
      <c r="Q153" s="10" t="s">
        <v>348</v>
      </c>
      <c r="R153" s="10">
        <v>0.94</v>
      </c>
      <c r="S153" s="10"/>
      <c r="T153" s="10"/>
      <c r="U153" s="10"/>
      <c r="V153" s="10"/>
      <c r="W153" s="10"/>
      <c r="X153" s="10"/>
      <c r="Y153" s="50">
        <v>16.3</v>
      </c>
      <c r="Z153" s="10"/>
      <c r="AA153" s="10" t="s">
        <v>65</v>
      </c>
      <c r="AB153" s="10">
        <v>1</v>
      </c>
      <c r="AC153" s="20">
        <f>21/(79+21)</f>
        <v>0.21</v>
      </c>
      <c r="AD153" s="10" t="s">
        <v>43</v>
      </c>
      <c r="AE153" s="10" t="s">
        <v>210</v>
      </c>
      <c r="AF153" s="10" t="s">
        <v>95</v>
      </c>
      <c r="AG153" s="10">
        <v>2.5</v>
      </c>
      <c r="AH153" s="10">
        <v>0</v>
      </c>
      <c r="AI153" s="27">
        <v>5</v>
      </c>
      <c r="AJ153" s="27">
        <f>30/2</f>
        <v>15</v>
      </c>
      <c r="AK153" s="10">
        <v>1</v>
      </c>
      <c r="AL153" s="10">
        <v>633</v>
      </c>
      <c r="AM153" s="19">
        <v>0.16300000000000001</v>
      </c>
      <c r="AN153" s="19">
        <v>0.78359999999999996</v>
      </c>
      <c r="AO153" s="19"/>
      <c r="AP153" s="19"/>
      <c r="AQ153" s="19">
        <f>Table1[[#This Row],[X_Ac]]*Table1[[#This Row],[S_Acryl_Ac]]</f>
        <v>0.1277268</v>
      </c>
      <c r="AR153" s="19">
        <f>Table1[[#This Row],[Y_Acryl_Ac]]*Table1[[#This Row],[Ratio_Ac_Fa]]</f>
        <v>0.31931700000000002</v>
      </c>
      <c r="AS153" s="28">
        <f t="shared" si="25"/>
        <v>7.3381514500993532</v>
      </c>
      <c r="AT153" s="16">
        <v>1</v>
      </c>
      <c r="AU153" s="10" t="s">
        <v>184</v>
      </c>
      <c r="AV153" s="45"/>
      <c r="AW153" s="10" t="s">
        <v>183</v>
      </c>
      <c r="AX153" s="10">
        <v>2023</v>
      </c>
      <c r="AY153" s="10">
        <v>2</v>
      </c>
      <c r="AZ153" s="10"/>
      <c r="BA153" s="20">
        <v>0.76602576228840058</v>
      </c>
      <c r="BB153" s="20">
        <v>1.915064405721</v>
      </c>
      <c r="BC153" s="20">
        <f>BA153*60*AR153/AY153</f>
        <v>7.3381514500993568</v>
      </c>
      <c r="BD153" s="20">
        <f>BB153*60*AQ153/AY153</f>
        <v>7.3381514500993505</v>
      </c>
    </row>
    <row r="154" spans="1:56" s="18" customFormat="1">
      <c r="A154" s="10">
        <v>153</v>
      </c>
      <c r="B154" s="13">
        <v>0</v>
      </c>
      <c r="C154" s="10"/>
      <c r="D154" s="10"/>
      <c r="E154" s="27"/>
      <c r="F154" s="10"/>
      <c r="G154" s="10"/>
      <c r="H154" s="27"/>
      <c r="I154" s="10" t="s">
        <v>11</v>
      </c>
      <c r="J154" s="10">
        <v>0.6</v>
      </c>
      <c r="K154" s="10"/>
      <c r="L154" s="10"/>
      <c r="M154" s="10" t="s">
        <v>7</v>
      </c>
      <c r="N154" s="10">
        <v>1</v>
      </c>
      <c r="O154" s="10"/>
      <c r="P154" s="10"/>
      <c r="Q154" s="10" t="s">
        <v>348</v>
      </c>
      <c r="R154" s="10">
        <v>0.6</v>
      </c>
      <c r="S154" s="10"/>
      <c r="T154" s="10"/>
      <c r="U154" s="10" t="s">
        <v>11</v>
      </c>
      <c r="V154" s="27">
        <f>0.075*(Table1[[#This Row],[Atom_Mol_1]]*79.866+Table1[[#This Row],[Atom_Mol_2]]*141.94+Table1[[#This Row],[Atom_Mol_3]]*80.06)/79.866</f>
        <v>0.22340132221470962</v>
      </c>
      <c r="W154" s="10"/>
      <c r="X154" s="20"/>
      <c r="Y154" s="50">
        <v>60.1</v>
      </c>
      <c r="Z154" s="10"/>
      <c r="AA154" s="10"/>
      <c r="AB154" s="10">
        <v>1</v>
      </c>
      <c r="AC154" s="20">
        <f>21/(79+21)</f>
        <v>0.21</v>
      </c>
      <c r="AD154" s="10" t="s">
        <v>43</v>
      </c>
      <c r="AE154" s="10" t="s">
        <v>208</v>
      </c>
      <c r="AF154" s="10" t="s">
        <v>95</v>
      </c>
      <c r="AG154" s="10">
        <v>0.5</v>
      </c>
      <c r="AH154" s="10">
        <v>0</v>
      </c>
      <c r="AI154" s="27">
        <v>1.5</v>
      </c>
      <c r="AJ154" s="27">
        <v>13</v>
      </c>
      <c r="AK154" s="10">
        <v>1</v>
      </c>
      <c r="AL154" s="10">
        <v>653</v>
      </c>
      <c r="AM154" s="19">
        <v>0.698694371153468</v>
      </c>
      <c r="AN154" s="19">
        <v>0.262264150943396</v>
      </c>
      <c r="AO154" s="19"/>
      <c r="AP154" s="19"/>
      <c r="AQ154" s="19">
        <f>Table1[[#This Row],[X_Ac]]*Table1[[#This Row],[S_Acryl_Ac]]</f>
        <v>0.18324248601949428</v>
      </c>
      <c r="AR154" s="19">
        <f>Table1[[#This Row],[Y_Acryl_Ac]]*Table1[[#This Row],[Ratio_Ac_Fa]]</f>
        <v>9.1621243009747139E-2</v>
      </c>
      <c r="AS154" s="28">
        <f t="shared" si="25"/>
        <v>1.9880727563993641</v>
      </c>
      <c r="AT154" s="16">
        <v>1</v>
      </c>
      <c r="AU154" s="10" t="s">
        <v>218</v>
      </c>
      <c r="AV154" s="30"/>
      <c r="AW154" s="10" t="s">
        <v>183</v>
      </c>
      <c r="AX154" s="10">
        <v>2024</v>
      </c>
      <c r="AY154" s="10">
        <v>2</v>
      </c>
      <c r="AZ154" s="10"/>
      <c r="BA154" s="20">
        <v>0.72329396221931586</v>
      </c>
      <c r="BB154" s="20">
        <v>0.36164698110965793</v>
      </c>
      <c r="BC154" s="20">
        <f>BA154*60*AR154/AY154</f>
        <v>1.9880727563993641</v>
      </c>
      <c r="BD154" s="20">
        <f>BB154*60*AQ154/AY154</f>
        <v>1.9880727563993641</v>
      </c>
    </row>
    <row r="155" spans="1:56" s="18" customFormat="1" ht="15.6" customHeight="1">
      <c r="A155" s="10">
        <v>154</v>
      </c>
      <c r="B155" s="13">
        <v>0.8</v>
      </c>
      <c r="C155" s="10" t="s">
        <v>10</v>
      </c>
      <c r="D155" s="10"/>
      <c r="E155" s="27">
        <v>1</v>
      </c>
      <c r="F155" s="10"/>
      <c r="G155" s="10"/>
      <c r="H155" s="27"/>
      <c r="I155" s="10" t="s">
        <v>205</v>
      </c>
      <c r="J155" s="10">
        <v>1</v>
      </c>
      <c r="K155" s="10"/>
      <c r="L155" s="10"/>
      <c r="M155" s="10" t="s">
        <v>7</v>
      </c>
      <c r="N155" s="10">
        <v>2.8</v>
      </c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50"/>
      <c r="Z155" s="10"/>
      <c r="AA155" s="10" t="s">
        <v>21</v>
      </c>
      <c r="AB155" s="10">
        <v>1</v>
      </c>
      <c r="AC155" s="20">
        <v>0</v>
      </c>
      <c r="AD155" s="10" t="s">
        <v>44</v>
      </c>
      <c r="AE155" s="10" t="s">
        <v>175</v>
      </c>
      <c r="AF155" s="10" t="s">
        <v>95</v>
      </c>
      <c r="AG155" s="10">
        <v>1.6</v>
      </c>
      <c r="AH155" s="10">
        <v>0</v>
      </c>
      <c r="AI155" s="27"/>
      <c r="AJ155" s="27"/>
      <c r="AK155" s="10">
        <v>1</v>
      </c>
      <c r="AL155" s="10">
        <v>643</v>
      </c>
      <c r="AM155" s="19"/>
      <c r="AN155" s="19"/>
      <c r="AO155" s="19">
        <v>0.15529999999999999</v>
      </c>
      <c r="AP155" s="19">
        <v>0.72660000000000002</v>
      </c>
      <c r="AQ155" s="19">
        <f>Table1[[#This Row],[Y_Acryl_Fa]]/Table1[[#This Row],[Ratio_Ac_Fa]]</f>
        <v>7.0525612499999987E-2</v>
      </c>
      <c r="AR155" s="19">
        <f>Table1[[#This Row],[X_Fa]]*Table1[[#This Row],[S_Acryl_Fa]]</f>
        <v>0.11284097999999999</v>
      </c>
      <c r="AS155" s="28"/>
      <c r="AT155" s="16"/>
      <c r="AU155" s="10" t="s">
        <v>93</v>
      </c>
      <c r="AV155" s="30"/>
      <c r="AW155" s="10" t="s">
        <v>191</v>
      </c>
      <c r="AX155" s="10">
        <v>2011</v>
      </c>
      <c r="AY155" s="10"/>
      <c r="AZ155" s="10"/>
      <c r="BA155" s="20"/>
      <c r="BB155" s="20"/>
      <c r="BC155" s="20"/>
      <c r="BD155" s="20"/>
    </row>
    <row r="156" spans="1:56" s="18" customFormat="1">
      <c r="A156" s="10">
        <v>155</v>
      </c>
      <c r="B156" s="13">
        <v>0.8</v>
      </c>
      <c r="C156" s="10" t="s">
        <v>10</v>
      </c>
      <c r="D156" s="10"/>
      <c r="E156" s="27">
        <v>1</v>
      </c>
      <c r="F156" s="10"/>
      <c r="G156" s="10"/>
      <c r="H156" s="27"/>
      <c r="I156" s="10" t="s">
        <v>205</v>
      </c>
      <c r="J156" s="10">
        <v>1</v>
      </c>
      <c r="K156" s="10"/>
      <c r="L156" s="10"/>
      <c r="M156" s="10" t="s">
        <v>7</v>
      </c>
      <c r="N156" s="10">
        <v>2.8</v>
      </c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50"/>
      <c r="Z156" s="10"/>
      <c r="AA156" s="10" t="s">
        <v>21</v>
      </c>
      <c r="AB156" s="10">
        <v>1</v>
      </c>
      <c r="AC156" s="20">
        <v>0</v>
      </c>
      <c r="AD156" s="10" t="s">
        <v>44</v>
      </c>
      <c r="AE156" s="10" t="s">
        <v>175</v>
      </c>
      <c r="AF156" s="10" t="s">
        <v>95</v>
      </c>
      <c r="AG156" s="10">
        <v>1.6</v>
      </c>
      <c r="AH156" s="10">
        <v>0</v>
      </c>
      <c r="AI156" s="27"/>
      <c r="AJ156" s="27"/>
      <c r="AK156" s="10">
        <v>1</v>
      </c>
      <c r="AL156" s="10">
        <v>673</v>
      </c>
      <c r="AM156" s="19"/>
      <c r="AN156" s="19"/>
      <c r="AO156" s="19">
        <v>0.50929999999999997</v>
      </c>
      <c r="AP156" s="19">
        <v>0.90629999999999999</v>
      </c>
      <c r="AQ156" s="19">
        <f>Table1[[#This Row],[Y_Acryl_Fa]]/Table1[[#This Row],[Ratio_Ac_Fa]]</f>
        <v>0.28848661874999998</v>
      </c>
      <c r="AR156" s="19">
        <f>Table1[[#This Row],[X_Fa]]*Table1[[#This Row],[S_Acryl_Fa]]</f>
        <v>0.46157858999999996</v>
      </c>
      <c r="AS156" s="28"/>
      <c r="AT156" s="16"/>
      <c r="AU156" s="10" t="s">
        <v>93</v>
      </c>
      <c r="AV156" s="30" t="s">
        <v>94</v>
      </c>
      <c r="AW156" s="10" t="s">
        <v>191</v>
      </c>
      <c r="AX156" s="10">
        <v>2011</v>
      </c>
      <c r="AY156" s="10"/>
      <c r="AZ156" s="10"/>
      <c r="BA156" s="20"/>
      <c r="BB156" s="20"/>
      <c r="BC156" s="20"/>
      <c r="BD156" s="20"/>
    </row>
    <row r="157" spans="1:56" s="18" customFormat="1">
      <c r="A157" s="10">
        <v>156</v>
      </c>
      <c r="B157" s="13">
        <v>0.8</v>
      </c>
      <c r="C157" s="10" t="s">
        <v>10</v>
      </c>
      <c r="D157" s="10"/>
      <c r="E157" s="27">
        <v>1</v>
      </c>
      <c r="F157" s="10"/>
      <c r="G157" s="10"/>
      <c r="H157" s="27"/>
      <c r="I157" s="11" t="s">
        <v>205</v>
      </c>
      <c r="J157" s="11">
        <v>1</v>
      </c>
      <c r="K157" s="11"/>
      <c r="L157" s="11"/>
      <c r="M157" s="11" t="s">
        <v>7</v>
      </c>
      <c r="N157" s="11">
        <v>2</v>
      </c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51">
        <v>224.2</v>
      </c>
      <c r="Z157" s="11">
        <v>334.7</v>
      </c>
      <c r="AA157" s="11" t="s">
        <v>17</v>
      </c>
      <c r="AB157" s="10">
        <v>1</v>
      </c>
      <c r="AC157" s="20">
        <v>0</v>
      </c>
      <c r="AD157" s="11" t="s">
        <v>43</v>
      </c>
      <c r="AE157" s="11" t="s">
        <v>211</v>
      </c>
      <c r="AF157" s="11" t="s">
        <v>95</v>
      </c>
      <c r="AG157" s="11">
        <v>3</v>
      </c>
      <c r="AH157" s="11">
        <v>0</v>
      </c>
      <c r="AI157" s="13">
        <v>5</v>
      </c>
      <c r="AJ157" s="13">
        <f>30/0.2</f>
        <v>150</v>
      </c>
      <c r="AK157" s="11">
        <v>1</v>
      </c>
      <c r="AL157" s="11">
        <v>623</v>
      </c>
      <c r="AM157" s="14"/>
      <c r="AN157" s="14"/>
      <c r="AO157" s="14">
        <v>0.61199999999999999</v>
      </c>
      <c r="AP157" s="14">
        <v>0.76800000000000002</v>
      </c>
      <c r="AQ157" s="14">
        <f>Table1[[#This Row],[Y_Acryl_Fa]]/Table1[[#This Row],[Ratio_Ac_Fa]]</f>
        <v>0.15667200000000001</v>
      </c>
      <c r="AR157" s="19">
        <f>Table1[[#This Row],[X_Fa]]*Table1[[#This Row],[S_Acryl_Fa]]</f>
        <v>0.47001599999999999</v>
      </c>
      <c r="AS157" s="28">
        <f t="shared" ref="AS157:AS188" si="27">AVERAGE(BC157:BD157)</f>
        <v>13.684340383014156</v>
      </c>
      <c r="AT157" s="16" t="s">
        <v>288</v>
      </c>
      <c r="AU157" s="11" t="s">
        <v>193</v>
      </c>
      <c r="AV157" s="17" t="s">
        <v>83</v>
      </c>
      <c r="AW157" s="10" t="s">
        <v>192</v>
      </c>
      <c r="AX157" s="10">
        <v>2022</v>
      </c>
      <c r="AY157" s="10">
        <v>0.2</v>
      </c>
      <c r="AZ157" s="10"/>
      <c r="BA157" s="20">
        <v>9.7048755666574171E-2</v>
      </c>
      <c r="BB157" s="20">
        <v>0.29114626699972246</v>
      </c>
      <c r="BC157" s="20">
        <f>BA157*60*AR157/AY157</f>
        <v>13.684340383014156</v>
      </c>
      <c r="BD157" s="20">
        <f>BB157*60*AQ157/AY157</f>
        <v>13.684340383014154</v>
      </c>
    </row>
    <row r="158" spans="1:56" s="18" customFormat="1">
      <c r="A158" s="10">
        <v>157</v>
      </c>
      <c r="B158" s="13">
        <v>0.8</v>
      </c>
      <c r="C158" s="10" t="s">
        <v>10</v>
      </c>
      <c r="D158" s="10"/>
      <c r="E158" s="27">
        <v>1</v>
      </c>
      <c r="F158" s="10"/>
      <c r="G158" s="10"/>
      <c r="H158" s="27"/>
      <c r="I158" s="11" t="s">
        <v>205</v>
      </c>
      <c r="J158" s="11">
        <v>1</v>
      </c>
      <c r="K158" s="11"/>
      <c r="L158" s="11"/>
      <c r="M158" s="11" t="s">
        <v>7</v>
      </c>
      <c r="N158" s="11">
        <v>2</v>
      </c>
      <c r="O158" s="11"/>
      <c r="P158" s="11"/>
      <c r="Q158" s="11" t="s">
        <v>80</v>
      </c>
      <c r="R158" s="11">
        <v>0.15</v>
      </c>
      <c r="S158" s="11"/>
      <c r="T158" s="11"/>
      <c r="U158" s="11"/>
      <c r="V158" s="11"/>
      <c r="W158" s="11"/>
      <c r="X158" s="11"/>
      <c r="Y158" s="51">
        <v>223.8</v>
      </c>
      <c r="Z158" s="11">
        <v>334.7</v>
      </c>
      <c r="AA158" s="11" t="s">
        <v>17</v>
      </c>
      <c r="AB158" s="10">
        <v>1</v>
      </c>
      <c r="AC158" s="20">
        <v>0</v>
      </c>
      <c r="AD158" s="11" t="s">
        <v>43</v>
      </c>
      <c r="AE158" s="11" t="s">
        <v>211</v>
      </c>
      <c r="AF158" s="11" t="s">
        <v>95</v>
      </c>
      <c r="AG158" s="11">
        <v>3</v>
      </c>
      <c r="AH158" s="11">
        <v>0</v>
      </c>
      <c r="AI158" s="13">
        <v>5</v>
      </c>
      <c r="AJ158" s="13">
        <f>30/0.2</f>
        <v>150</v>
      </c>
      <c r="AK158" s="11">
        <v>1</v>
      </c>
      <c r="AL158" s="11">
        <v>623</v>
      </c>
      <c r="AM158" s="14"/>
      <c r="AN158" s="14"/>
      <c r="AO158" s="14">
        <v>0.69779999999999998</v>
      </c>
      <c r="AP158" s="14">
        <v>0.85329999999999995</v>
      </c>
      <c r="AQ158" s="14">
        <f>Table1[[#This Row],[Y_Acryl_Fa]]/Table1[[#This Row],[Ratio_Ac_Fa]]</f>
        <v>0.19847757999999996</v>
      </c>
      <c r="AR158" s="19">
        <f>Table1[[#This Row],[X_Fa]]*Table1[[#This Row],[S_Acryl_Fa]]</f>
        <v>0.5954327399999999</v>
      </c>
      <c r="AS158" s="28">
        <f t="shared" si="27"/>
        <v>17.335801950041628</v>
      </c>
      <c r="AT158" s="16" t="s">
        <v>331</v>
      </c>
      <c r="AU158" s="11" t="s">
        <v>193</v>
      </c>
      <c r="AV158" s="17" t="s">
        <v>83</v>
      </c>
      <c r="AW158" s="10" t="s">
        <v>192</v>
      </c>
      <c r="AX158" s="10">
        <v>2022</v>
      </c>
      <c r="AY158" s="10">
        <v>0.2</v>
      </c>
      <c r="AZ158" s="10"/>
      <c r="BA158" s="20">
        <v>9.7048755666574171E-2</v>
      </c>
      <c r="BB158" s="20">
        <v>0.29114626699972246</v>
      </c>
      <c r="BC158" s="20">
        <f>BA158*60*AR158/AY158</f>
        <v>17.335801950041631</v>
      </c>
      <c r="BD158" s="20">
        <f>BB158*60*AQ158/AY158</f>
        <v>17.335801950041628</v>
      </c>
    </row>
    <row r="159" spans="1:56" s="18" customFormat="1">
      <c r="A159" s="10">
        <v>158</v>
      </c>
      <c r="B159" s="13">
        <v>0.8</v>
      </c>
      <c r="C159" s="10" t="s">
        <v>10</v>
      </c>
      <c r="D159" s="10"/>
      <c r="E159" s="27">
        <v>1</v>
      </c>
      <c r="F159" s="10"/>
      <c r="G159" s="10"/>
      <c r="H159" s="27"/>
      <c r="I159" s="11" t="s">
        <v>205</v>
      </c>
      <c r="J159" s="11">
        <v>1</v>
      </c>
      <c r="K159" s="11"/>
      <c r="L159" s="11"/>
      <c r="M159" s="11" t="s">
        <v>7</v>
      </c>
      <c r="N159" s="11">
        <v>2</v>
      </c>
      <c r="O159" s="11"/>
      <c r="P159" s="11"/>
      <c r="Q159" s="11" t="s">
        <v>81</v>
      </c>
      <c r="R159" s="11">
        <v>0.15</v>
      </c>
      <c r="S159" s="11"/>
      <c r="T159" s="11"/>
      <c r="U159" s="11"/>
      <c r="V159" s="11"/>
      <c r="W159" s="11"/>
      <c r="X159" s="11"/>
      <c r="Y159" s="51">
        <v>223.1</v>
      </c>
      <c r="Z159" s="11">
        <v>334.7</v>
      </c>
      <c r="AA159" s="11" t="s">
        <v>17</v>
      </c>
      <c r="AB159" s="10">
        <v>1</v>
      </c>
      <c r="AC159" s="20">
        <v>0</v>
      </c>
      <c r="AD159" s="11" t="s">
        <v>43</v>
      </c>
      <c r="AE159" s="11" t="s">
        <v>211</v>
      </c>
      <c r="AF159" s="11" t="s">
        <v>95</v>
      </c>
      <c r="AG159" s="11">
        <v>3</v>
      </c>
      <c r="AH159" s="11">
        <v>0</v>
      </c>
      <c r="AI159" s="13">
        <v>5</v>
      </c>
      <c r="AJ159" s="13">
        <f>30/0.2</f>
        <v>150</v>
      </c>
      <c r="AK159" s="11">
        <v>1</v>
      </c>
      <c r="AL159" s="11">
        <v>623</v>
      </c>
      <c r="AM159" s="14"/>
      <c r="AN159" s="14"/>
      <c r="AO159" s="14">
        <v>0.69779999999999998</v>
      </c>
      <c r="AP159" s="14">
        <v>0.86360000000000003</v>
      </c>
      <c r="AQ159" s="14">
        <f>Table1[[#This Row],[Y_Acryl_Fa]]/Table1[[#This Row],[Ratio_Ac_Fa]]</f>
        <v>0.20087336</v>
      </c>
      <c r="AR159" s="19">
        <f>Table1[[#This Row],[X_Fa]]*Table1[[#This Row],[S_Acryl_Fa]]</f>
        <v>0.60262008</v>
      </c>
      <c r="AS159" s="28">
        <f t="shared" si="27"/>
        <v>17.545058671107412</v>
      </c>
      <c r="AT159" s="16" t="s">
        <v>332</v>
      </c>
      <c r="AU159" s="11" t="s">
        <v>193</v>
      </c>
      <c r="AV159" s="17" t="s">
        <v>83</v>
      </c>
      <c r="AW159" s="10" t="s">
        <v>192</v>
      </c>
      <c r="AX159" s="10">
        <v>2022</v>
      </c>
      <c r="AY159" s="10">
        <v>0.2</v>
      </c>
      <c r="AZ159" s="10"/>
      <c r="BA159" s="20">
        <v>9.7048755666574171E-2</v>
      </c>
      <c r="BB159" s="20">
        <v>0.29114626699972246</v>
      </c>
      <c r="BC159" s="20">
        <f>BA159*60*AR159/AY159</f>
        <v>17.545058671107412</v>
      </c>
      <c r="BD159" s="20">
        <f>BB159*60*AQ159/AY159</f>
        <v>17.545058671107412</v>
      </c>
    </row>
    <row r="160" spans="1:56" s="18" customFormat="1">
      <c r="A160" s="10">
        <v>159</v>
      </c>
      <c r="B160" s="13">
        <v>0.8</v>
      </c>
      <c r="C160" s="10" t="s">
        <v>10</v>
      </c>
      <c r="D160" s="10"/>
      <c r="E160" s="27">
        <v>1</v>
      </c>
      <c r="F160" s="10"/>
      <c r="G160" s="10"/>
      <c r="H160" s="27"/>
      <c r="I160" s="11" t="s">
        <v>205</v>
      </c>
      <c r="J160" s="11">
        <v>1</v>
      </c>
      <c r="K160" s="11"/>
      <c r="L160" s="11"/>
      <c r="M160" s="11" t="s">
        <v>7</v>
      </c>
      <c r="N160" s="11">
        <v>2</v>
      </c>
      <c r="O160" s="11"/>
      <c r="P160" s="11"/>
      <c r="Q160" s="11" t="s">
        <v>82</v>
      </c>
      <c r="R160" s="11">
        <v>0.15</v>
      </c>
      <c r="S160" s="11"/>
      <c r="T160" s="11"/>
      <c r="U160" s="11"/>
      <c r="V160" s="11"/>
      <c r="W160" s="11"/>
      <c r="X160" s="11"/>
      <c r="Y160" s="51">
        <v>222.5</v>
      </c>
      <c r="Z160" s="11">
        <v>334.7</v>
      </c>
      <c r="AA160" s="11" t="s">
        <v>17</v>
      </c>
      <c r="AB160" s="10">
        <v>1</v>
      </c>
      <c r="AC160" s="20">
        <v>0</v>
      </c>
      <c r="AD160" s="11" t="s">
        <v>43</v>
      </c>
      <c r="AE160" s="11" t="s">
        <v>211</v>
      </c>
      <c r="AF160" s="11" t="s">
        <v>95</v>
      </c>
      <c r="AG160" s="11">
        <v>3</v>
      </c>
      <c r="AH160" s="11">
        <v>0</v>
      </c>
      <c r="AI160" s="13">
        <v>5</v>
      </c>
      <c r="AJ160" s="13">
        <f>30/0.2</f>
        <v>150</v>
      </c>
      <c r="AK160" s="11">
        <v>1</v>
      </c>
      <c r="AL160" s="11">
        <v>623</v>
      </c>
      <c r="AM160" s="14"/>
      <c r="AN160" s="14"/>
      <c r="AO160" s="14">
        <v>0.69099999999999995</v>
      </c>
      <c r="AP160" s="14">
        <v>0.8982</v>
      </c>
      <c r="AQ160" s="14">
        <f>Table1[[#This Row],[Y_Acryl_Fa]]/Table1[[#This Row],[Ratio_Ac_Fa]]</f>
        <v>0.2068854</v>
      </c>
      <c r="AR160" s="19">
        <f>Table1[[#This Row],[X_Fa]]*Table1[[#This Row],[S_Acryl_Fa]]</f>
        <v>0.62065619999999999</v>
      </c>
      <c r="AS160" s="28">
        <f t="shared" si="27"/>
        <v>18.070173572023315</v>
      </c>
      <c r="AT160" s="16" t="s">
        <v>333</v>
      </c>
      <c r="AU160" s="11" t="s">
        <v>193</v>
      </c>
      <c r="AV160" s="17" t="s">
        <v>83</v>
      </c>
      <c r="AW160" s="10" t="s">
        <v>192</v>
      </c>
      <c r="AX160" s="10">
        <v>2022</v>
      </c>
      <c r="AY160" s="10">
        <v>0.2</v>
      </c>
      <c r="AZ160" s="10"/>
      <c r="BA160" s="20">
        <v>9.7048755666574171E-2</v>
      </c>
      <c r="BB160" s="20">
        <v>0.29114626699972246</v>
      </c>
      <c r="BC160" s="20">
        <f>BA160*60*AR160/AY160</f>
        <v>18.070173572023315</v>
      </c>
      <c r="BD160" s="20">
        <f>BB160*60*AQ160/AY160</f>
        <v>18.070173572023315</v>
      </c>
    </row>
    <row r="161" spans="1:56" s="18" customFormat="1">
      <c r="A161" s="10">
        <v>160</v>
      </c>
      <c r="B161" s="13">
        <v>0.8</v>
      </c>
      <c r="C161" s="10" t="s">
        <v>10</v>
      </c>
      <c r="D161" s="10"/>
      <c r="E161" s="27">
        <v>1</v>
      </c>
      <c r="F161" s="10"/>
      <c r="G161" s="10"/>
      <c r="H161" s="27"/>
      <c r="I161" s="11" t="s">
        <v>205</v>
      </c>
      <c r="J161" s="11">
        <v>1</v>
      </c>
      <c r="K161" s="11"/>
      <c r="L161" s="11"/>
      <c r="M161" s="11" t="s">
        <v>7</v>
      </c>
      <c r="N161" s="11">
        <v>2</v>
      </c>
      <c r="O161" s="11"/>
      <c r="P161" s="11"/>
      <c r="Q161" s="11" t="s">
        <v>37</v>
      </c>
      <c r="R161" s="11">
        <v>0.15</v>
      </c>
      <c r="S161" s="11"/>
      <c r="T161" s="11"/>
      <c r="U161" s="11"/>
      <c r="V161" s="11"/>
      <c r="W161" s="11"/>
      <c r="X161" s="11"/>
      <c r="Y161" s="51">
        <v>221.2</v>
      </c>
      <c r="Z161" s="11">
        <v>334.7</v>
      </c>
      <c r="AA161" s="11" t="s">
        <v>17</v>
      </c>
      <c r="AB161" s="10">
        <v>1</v>
      </c>
      <c r="AC161" s="20">
        <v>0</v>
      </c>
      <c r="AD161" s="11" t="s">
        <v>43</v>
      </c>
      <c r="AE161" s="11" t="s">
        <v>211</v>
      </c>
      <c r="AF161" s="11" t="s">
        <v>95</v>
      </c>
      <c r="AG161" s="11">
        <v>3</v>
      </c>
      <c r="AH161" s="11">
        <v>0</v>
      </c>
      <c r="AI161" s="13">
        <v>5</v>
      </c>
      <c r="AJ161" s="13">
        <f>30/0.2</f>
        <v>150</v>
      </c>
      <c r="AK161" s="11">
        <v>1</v>
      </c>
      <c r="AL161" s="11">
        <v>623</v>
      </c>
      <c r="AM161" s="14"/>
      <c r="AN161" s="14"/>
      <c r="AO161" s="14">
        <v>0.70399999999999996</v>
      </c>
      <c r="AP161" s="14">
        <v>0.93</v>
      </c>
      <c r="AQ161" s="14">
        <f>Table1[[#This Row],[Y_Acryl_Fa]]/Table1[[#This Row],[Ratio_Ac_Fa]]</f>
        <v>0.21823999999999999</v>
      </c>
      <c r="AR161" s="19">
        <f>Table1[[#This Row],[X_Fa]]*Table1[[#This Row],[S_Acryl_Fa]]</f>
        <v>0.65471999999999997</v>
      </c>
      <c r="AS161" s="28">
        <f t="shared" si="27"/>
        <v>19.061928393005829</v>
      </c>
      <c r="AT161" s="16" t="s">
        <v>287</v>
      </c>
      <c r="AU161" s="11" t="s">
        <v>193</v>
      </c>
      <c r="AV161" s="17" t="s">
        <v>84</v>
      </c>
      <c r="AW161" s="10" t="s">
        <v>192</v>
      </c>
      <c r="AX161" s="10">
        <v>2022</v>
      </c>
      <c r="AY161" s="10">
        <v>0.2</v>
      </c>
      <c r="AZ161" s="10"/>
      <c r="BA161" s="20">
        <v>9.7048755666574171E-2</v>
      </c>
      <c r="BB161" s="20">
        <v>0.29114626699972246</v>
      </c>
      <c r="BC161" s="20">
        <f>BA161*60*AR161/AY161</f>
        <v>19.061928393005829</v>
      </c>
      <c r="BD161" s="20">
        <f>BB161*60*AQ161/AY161</f>
        <v>19.061928393005829</v>
      </c>
    </row>
    <row r="162" spans="1:56" s="18" customFormat="1">
      <c r="A162" s="10">
        <v>161</v>
      </c>
      <c r="B162" s="13">
        <v>0</v>
      </c>
      <c r="C162" s="11"/>
      <c r="D162" s="11"/>
      <c r="E162" s="27"/>
      <c r="F162" s="11"/>
      <c r="G162" s="11"/>
      <c r="H162" s="27"/>
      <c r="I162" s="11" t="s">
        <v>205</v>
      </c>
      <c r="J162" s="11">
        <v>1</v>
      </c>
      <c r="K162" s="11"/>
      <c r="L162" s="11"/>
      <c r="M162" s="11" t="s">
        <v>7</v>
      </c>
      <c r="N162" s="11">
        <v>5</v>
      </c>
      <c r="O162" s="11"/>
      <c r="P162" s="11"/>
      <c r="Q162" s="11" t="s">
        <v>11</v>
      </c>
      <c r="R162" s="11">
        <v>2</v>
      </c>
      <c r="S162" s="11"/>
      <c r="T162" s="11"/>
      <c r="U162" s="11"/>
      <c r="V162" s="11"/>
      <c r="W162" s="11"/>
      <c r="X162" s="11"/>
      <c r="Y162" s="51"/>
      <c r="Z162" s="11">
        <v>40</v>
      </c>
      <c r="AA162" s="11" t="s">
        <v>17</v>
      </c>
      <c r="AB162" s="10">
        <v>1</v>
      </c>
      <c r="AC162" s="20">
        <f>1/(99+1)</f>
        <v>0.01</v>
      </c>
      <c r="AD162" s="11" t="s">
        <v>43</v>
      </c>
      <c r="AE162" s="11" t="s">
        <v>211</v>
      </c>
      <c r="AF162" s="11" t="s">
        <v>95</v>
      </c>
      <c r="AG162" s="10">
        <v>3</v>
      </c>
      <c r="AH162" s="10">
        <v>0</v>
      </c>
      <c r="AI162" s="27">
        <f>0.25*60/6</f>
        <v>2.5</v>
      </c>
      <c r="AJ162" s="27">
        <f>100/6</f>
        <v>16.666666666666668</v>
      </c>
      <c r="AK162" s="10">
        <v>1</v>
      </c>
      <c r="AL162" s="10">
        <v>638</v>
      </c>
      <c r="AM162" s="19">
        <v>0.21099999999999999</v>
      </c>
      <c r="AN162" s="19">
        <v>0.85399999999999998</v>
      </c>
      <c r="AO162" s="19"/>
      <c r="AP162" s="19"/>
      <c r="AQ162" s="19">
        <f>Table1[[#This Row],[X_Ac]]*Table1[[#This Row],[S_Acryl_Ac]]</f>
        <v>0.18019399999999999</v>
      </c>
      <c r="AR162" s="19">
        <f>Table1[[#This Row],[Y_Acryl_Ac]]*Table1[[#This Row],[Ratio_Ac_Fa]]</f>
        <v>0.54058200000000001</v>
      </c>
      <c r="AS162" s="28">
        <f t="shared" si="27"/>
        <v>7.8694215653621988</v>
      </c>
      <c r="AT162" s="16">
        <v>1</v>
      </c>
      <c r="AU162" s="10" t="s">
        <v>198</v>
      </c>
      <c r="AV162" s="30"/>
      <c r="AW162" s="10"/>
      <c r="AX162" s="10">
        <v>2022</v>
      </c>
      <c r="AY162" s="10">
        <v>6</v>
      </c>
      <c r="AZ162" s="10"/>
      <c r="BA162" s="20">
        <v>1.4557313349986125</v>
      </c>
      <c r="BB162" s="20">
        <v>4.3671940049958371</v>
      </c>
      <c r="BC162" s="20">
        <f>BA162*60*AR162/AY162</f>
        <v>7.8694215653621988</v>
      </c>
      <c r="BD162" s="20">
        <f>BB162*60*AQ162/AY162</f>
        <v>7.8694215653621988</v>
      </c>
    </row>
    <row r="163" spans="1:56" s="18" customFormat="1">
      <c r="A163" s="10">
        <v>162</v>
      </c>
      <c r="B163" s="13">
        <v>0.4</v>
      </c>
      <c r="C163" s="10" t="s">
        <v>10</v>
      </c>
      <c r="D163" s="10"/>
      <c r="E163" s="27">
        <v>1</v>
      </c>
      <c r="F163" s="10"/>
      <c r="G163" s="10"/>
      <c r="H163" s="27"/>
      <c r="I163" s="10" t="s">
        <v>205</v>
      </c>
      <c r="J163" s="10">
        <v>1</v>
      </c>
      <c r="K163" s="10"/>
      <c r="L163" s="10"/>
      <c r="M163" s="10" t="s">
        <v>7</v>
      </c>
      <c r="N163" s="10">
        <v>1.2</v>
      </c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50"/>
      <c r="Z163" s="10">
        <v>250</v>
      </c>
      <c r="AA163" s="10"/>
      <c r="AB163" s="10">
        <v>1</v>
      </c>
      <c r="AC163" s="20">
        <v>0</v>
      </c>
      <c r="AD163" s="11" t="s">
        <v>43</v>
      </c>
      <c r="AE163" s="11" t="s">
        <v>211</v>
      </c>
      <c r="AF163" s="11" t="s">
        <v>95</v>
      </c>
      <c r="AG163" s="10">
        <v>5</v>
      </c>
      <c r="AH163" s="10">
        <v>0</v>
      </c>
      <c r="AI163" s="27">
        <f>1.2*5/3</f>
        <v>2</v>
      </c>
      <c r="AJ163" s="27">
        <f>20/3</f>
        <v>6.666666666666667</v>
      </c>
      <c r="AK163" s="10">
        <v>1</v>
      </c>
      <c r="AL163" s="10">
        <v>623</v>
      </c>
      <c r="AM163" s="19"/>
      <c r="AN163" s="19"/>
      <c r="AO163" s="19"/>
      <c r="AP163" s="19"/>
      <c r="AQ163" s="14">
        <f>Table1[[#This Row],[Y_Acryl_Fa]]/Table1[[#This Row],[Ratio_Ac_Fa]]</f>
        <v>8.4879999999999997E-2</v>
      </c>
      <c r="AR163" s="19">
        <v>0.4244</v>
      </c>
      <c r="AS163" s="28">
        <f t="shared" si="27"/>
        <v>2.9654994171523725</v>
      </c>
      <c r="AT163" s="16"/>
      <c r="AU163" s="10" t="s">
        <v>220</v>
      </c>
      <c r="AV163" s="30" t="s">
        <v>68</v>
      </c>
      <c r="AW163" s="10" t="s">
        <v>221</v>
      </c>
      <c r="AX163" s="10">
        <v>2023</v>
      </c>
      <c r="AY163" s="10">
        <v>3</v>
      </c>
      <c r="AZ163" s="10"/>
      <c r="BA163" s="20">
        <v>0.34937552039966691</v>
      </c>
      <c r="BB163" s="20">
        <v>1.7468776019983345</v>
      </c>
      <c r="BC163" s="20">
        <f>BA163*60*AR163/AY163</f>
        <v>2.9654994171523725</v>
      </c>
      <c r="BD163" s="20">
        <f>BB163*60*AQ163/AY163</f>
        <v>2.9654994171523725</v>
      </c>
    </row>
    <row r="164" spans="1:56" s="18" customFormat="1">
      <c r="A164" s="10">
        <v>163</v>
      </c>
      <c r="B164" s="13">
        <v>0.4</v>
      </c>
      <c r="C164" s="10" t="s">
        <v>11</v>
      </c>
      <c r="D164" s="10"/>
      <c r="E164" s="27">
        <v>1</v>
      </c>
      <c r="F164" s="10"/>
      <c r="G164" s="10"/>
      <c r="H164" s="27"/>
      <c r="I164" s="10" t="s">
        <v>205</v>
      </c>
      <c r="J164" s="10">
        <v>1</v>
      </c>
      <c r="K164" s="10"/>
      <c r="L164" s="10"/>
      <c r="M164" s="10" t="s">
        <v>7</v>
      </c>
      <c r="N164" s="10">
        <v>1.2</v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50"/>
      <c r="Z164" s="10">
        <v>20</v>
      </c>
      <c r="AA164" s="10"/>
      <c r="AB164" s="10">
        <v>1</v>
      </c>
      <c r="AC164" s="20">
        <v>0</v>
      </c>
      <c r="AD164" s="11" t="s">
        <v>43</v>
      </c>
      <c r="AE164" s="11" t="s">
        <v>211</v>
      </c>
      <c r="AF164" s="11" t="s">
        <v>95</v>
      </c>
      <c r="AG164" s="10">
        <v>5</v>
      </c>
      <c r="AH164" s="10">
        <v>0</v>
      </c>
      <c r="AI164" s="27">
        <f>1.2*5/3</f>
        <v>2</v>
      </c>
      <c r="AJ164" s="27">
        <f>20/3</f>
        <v>6.666666666666667</v>
      </c>
      <c r="AK164" s="10">
        <v>1</v>
      </c>
      <c r="AL164" s="10">
        <v>623</v>
      </c>
      <c r="AM164" s="19"/>
      <c r="AN164" s="19"/>
      <c r="AO164" s="19"/>
      <c r="AP164" s="19"/>
      <c r="AQ164" s="14">
        <f>Table1[[#This Row],[Y_Acryl_Fa]]/Table1[[#This Row],[Ratio_Ac_Fa]]</f>
        <v>9.6519999999999995E-2</v>
      </c>
      <c r="AR164" s="19">
        <v>0.48259999999999997</v>
      </c>
      <c r="AS164" s="28">
        <f t="shared" si="27"/>
        <v>3.3721725228975847</v>
      </c>
      <c r="AT164" s="16"/>
      <c r="AU164" s="10" t="s">
        <v>220</v>
      </c>
      <c r="AV164" s="30"/>
      <c r="AW164" s="10" t="s">
        <v>221</v>
      </c>
      <c r="AX164" s="10">
        <v>2023</v>
      </c>
      <c r="AY164" s="10">
        <v>3</v>
      </c>
      <c r="AZ164" s="10"/>
      <c r="BA164" s="20">
        <v>0.34937552039966691</v>
      </c>
      <c r="BB164" s="20">
        <v>1.7468776019983345</v>
      </c>
      <c r="BC164" s="20">
        <f>BA164*60*AR164/AY164</f>
        <v>3.3721725228975852</v>
      </c>
      <c r="BD164" s="20">
        <f>BB164*60*AQ164/AY164</f>
        <v>3.3721725228975843</v>
      </c>
    </row>
    <row r="165" spans="1:56" s="18" customFormat="1">
      <c r="A165" s="10">
        <v>164</v>
      </c>
      <c r="B165" s="13">
        <v>0.4</v>
      </c>
      <c r="C165" s="10" t="s">
        <v>12</v>
      </c>
      <c r="D165" s="10"/>
      <c r="E165" s="27">
        <v>1</v>
      </c>
      <c r="F165" s="10"/>
      <c r="G165" s="10"/>
      <c r="H165" s="27"/>
      <c r="I165" s="10" t="s">
        <v>205</v>
      </c>
      <c r="J165" s="10">
        <v>1</v>
      </c>
      <c r="K165" s="10"/>
      <c r="L165" s="10"/>
      <c r="M165" s="10" t="s">
        <v>7</v>
      </c>
      <c r="N165" s="10">
        <v>1.2</v>
      </c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>
        <v>28.3</v>
      </c>
      <c r="Z165" s="10"/>
      <c r="AA165" s="10"/>
      <c r="AB165" s="10">
        <v>1</v>
      </c>
      <c r="AC165" s="20">
        <v>0</v>
      </c>
      <c r="AD165" s="11" t="s">
        <v>43</v>
      </c>
      <c r="AE165" s="11" t="s">
        <v>211</v>
      </c>
      <c r="AF165" s="11" t="s">
        <v>95</v>
      </c>
      <c r="AG165" s="10">
        <v>5</v>
      </c>
      <c r="AH165" s="10">
        <v>0</v>
      </c>
      <c r="AI165" s="27">
        <f>1.2*5/3</f>
        <v>2</v>
      </c>
      <c r="AJ165" s="27">
        <f>20/3</f>
        <v>6.666666666666667</v>
      </c>
      <c r="AK165" s="10">
        <v>1</v>
      </c>
      <c r="AL165" s="10">
        <v>623</v>
      </c>
      <c r="AM165" s="19"/>
      <c r="AN165" s="19"/>
      <c r="AO165" s="19">
        <v>0.52</v>
      </c>
      <c r="AP165" s="19">
        <v>0.99</v>
      </c>
      <c r="AQ165" s="14">
        <f>Table1[[#This Row],[Y_Acryl_Fa]]/Table1[[#This Row],[Ratio_Ac_Fa]]</f>
        <v>0.10296000000000001</v>
      </c>
      <c r="AR165" s="19">
        <f>Table1[[#This Row],[X_Fa]]*Table1[[#This Row],[S_Acryl_Fa]]</f>
        <v>0.51480000000000004</v>
      </c>
      <c r="AS165" s="28">
        <f t="shared" si="27"/>
        <v>3.5971703580349708</v>
      </c>
      <c r="AT165" s="16">
        <v>1</v>
      </c>
      <c r="AU165" s="10" t="s">
        <v>220</v>
      </c>
      <c r="AV165" s="30"/>
      <c r="AW165" s="10" t="s">
        <v>221</v>
      </c>
      <c r="AX165" s="10">
        <v>2023</v>
      </c>
      <c r="AY165" s="10">
        <v>3</v>
      </c>
      <c r="AZ165" s="10"/>
      <c r="BA165" s="20">
        <v>0.34937552039966691</v>
      </c>
      <c r="BB165" s="20">
        <v>1.7468776019983345</v>
      </c>
      <c r="BC165" s="20">
        <f>BA165*60*AR165/AY165</f>
        <v>3.5971703580349708</v>
      </c>
      <c r="BD165" s="20">
        <f>BB165*60*AQ165/AY165</f>
        <v>3.5971703580349708</v>
      </c>
    </row>
    <row r="166" spans="1:56" s="18" customFormat="1">
      <c r="A166" s="10">
        <v>165</v>
      </c>
      <c r="B166" s="13">
        <v>0.4</v>
      </c>
      <c r="C166" s="10" t="s">
        <v>30</v>
      </c>
      <c r="D166" s="10"/>
      <c r="E166" s="27">
        <v>1</v>
      </c>
      <c r="F166" s="10"/>
      <c r="G166" s="10"/>
      <c r="H166" s="27"/>
      <c r="I166" s="10" t="s">
        <v>205</v>
      </c>
      <c r="J166" s="10">
        <v>1</v>
      </c>
      <c r="K166" s="10"/>
      <c r="L166" s="10"/>
      <c r="M166" s="10" t="s">
        <v>7</v>
      </c>
      <c r="N166" s="10">
        <v>1.2</v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50"/>
      <c r="Z166" s="10">
        <v>100</v>
      </c>
      <c r="AA166" s="10"/>
      <c r="AB166" s="10">
        <v>1</v>
      </c>
      <c r="AC166" s="20">
        <v>0</v>
      </c>
      <c r="AD166" s="11" t="s">
        <v>43</v>
      </c>
      <c r="AE166" s="11" t="s">
        <v>211</v>
      </c>
      <c r="AF166" s="11" t="s">
        <v>95</v>
      </c>
      <c r="AG166" s="10">
        <v>5</v>
      </c>
      <c r="AH166" s="10">
        <v>0</v>
      </c>
      <c r="AI166" s="27">
        <f>1.2*5/3</f>
        <v>2</v>
      </c>
      <c r="AJ166" s="27">
        <f>20/3</f>
        <v>6.666666666666667</v>
      </c>
      <c r="AK166" s="10">
        <v>1</v>
      </c>
      <c r="AL166" s="10">
        <v>623</v>
      </c>
      <c r="AM166" s="19"/>
      <c r="AN166" s="19"/>
      <c r="AO166" s="19"/>
      <c r="AP166" s="19"/>
      <c r="AQ166" s="14">
        <f>Table1[[#This Row],[Y_Acryl_Fa]]/Table1[[#This Row],[Ratio_Ac_Fa]]</f>
        <v>7.152E-2</v>
      </c>
      <c r="AR166" s="19">
        <v>0.35759999999999997</v>
      </c>
      <c r="AS166" s="28">
        <f t="shared" si="27"/>
        <v>2.4987337218984176</v>
      </c>
      <c r="AT166" s="16"/>
      <c r="AU166" s="10" t="s">
        <v>220</v>
      </c>
      <c r="AV166" s="30"/>
      <c r="AW166" s="10" t="s">
        <v>221</v>
      </c>
      <c r="AX166" s="10">
        <v>2023</v>
      </c>
      <c r="AY166" s="10">
        <v>3</v>
      </c>
      <c r="AZ166" s="10"/>
      <c r="BA166" s="20">
        <v>0.34937552039966691</v>
      </c>
      <c r="BB166" s="20">
        <v>1.7468776019983345</v>
      </c>
      <c r="BC166" s="20">
        <f>BA166*60*AR166/AY166</f>
        <v>2.4987337218984176</v>
      </c>
      <c r="BD166" s="20">
        <f>BB166*60*AQ166/AY166</f>
        <v>2.4987337218984176</v>
      </c>
    </row>
    <row r="167" spans="1:56" s="18" customFormat="1" ht="18" customHeight="1">
      <c r="A167" s="10">
        <v>166</v>
      </c>
      <c r="B167" s="13">
        <v>1</v>
      </c>
      <c r="C167" s="10" t="s">
        <v>10</v>
      </c>
      <c r="D167" s="10"/>
      <c r="E167" s="27">
        <v>1</v>
      </c>
      <c r="F167" s="10"/>
      <c r="G167" s="10"/>
      <c r="H167" s="27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50">
        <v>860.8</v>
      </c>
      <c r="Z167" s="50"/>
      <c r="AA167" s="10" t="s">
        <v>4</v>
      </c>
      <c r="AB167" s="10" t="s">
        <v>311</v>
      </c>
      <c r="AC167" s="20">
        <v>0</v>
      </c>
      <c r="AD167" s="11" t="s">
        <v>44</v>
      </c>
      <c r="AE167" s="10" t="s">
        <v>211</v>
      </c>
      <c r="AF167" s="10" t="s">
        <v>95</v>
      </c>
      <c r="AG167" s="10">
        <v>0.5</v>
      </c>
      <c r="AH167" s="10">
        <v>0</v>
      </c>
      <c r="AI167" s="27">
        <f>0.03*60/0.5</f>
        <v>3.5999999999999996</v>
      </c>
      <c r="AJ167" s="27"/>
      <c r="AK167" s="10">
        <v>1</v>
      </c>
      <c r="AL167" s="10">
        <v>663</v>
      </c>
      <c r="AM167" s="19">
        <v>8.5999999999999993E-2</v>
      </c>
      <c r="AN167" s="19">
        <v>0.96</v>
      </c>
      <c r="AO167" s="19"/>
      <c r="AP167" s="19"/>
      <c r="AQ167" s="19">
        <f>Table1[[#This Row],[X_Ac]]*Table1[[#This Row],[S_Acryl_Ac]]</f>
        <v>8.2559999999999995E-2</v>
      </c>
      <c r="AR167" s="19">
        <f>Table1[[#This Row],[Y_Acryl_Ac]]*Table1[[#This Row],[Ratio_Ac_Fa]]</f>
        <v>4.1279999999999997E-2</v>
      </c>
      <c r="AS167" s="28">
        <f t="shared" si="27"/>
        <v>3.7392725701943839</v>
      </c>
      <c r="AT167" s="29"/>
      <c r="AU167" s="10" t="s">
        <v>39</v>
      </c>
      <c r="AV167" s="19" t="s">
        <v>99</v>
      </c>
      <c r="AW167" s="10" t="s">
        <v>140</v>
      </c>
      <c r="AX167" s="10">
        <v>2015</v>
      </c>
      <c r="AY167" s="10">
        <v>0.5</v>
      </c>
      <c r="AZ167" s="10"/>
      <c r="BA167" s="20">
        <v>0.75485961123110135</v>
      </c>
      <c r="BB167" s="20">
        <v>0.37742980561555073</v>
      </c>
      <c r="BC167" s="20">
        <f>BA167*60*AR167/AY167</f>
        <v>3.7392725701943834</v>
      </c>
      <c r="BD167" s="20">
        <f>BB167*60*AQ167/AY167</f>
        <v>3.7392725701943839</v>
      </c>
    </row>
    <row r="168" spans="1:56" s="18" customFormat="1" ht="18" customHeight="1">
      <c r="A168" s="10">
        <v>167</v>
      </c>
      <c r="B168" s="13"/>
      <c r="C168" s="10" t="s">
        <v>10</v>
      </c>
      <c r="D168" s="10"/>
      <c r="E168" s="27">
        <v>1</v>
      </c>
      <c r="F168" s="10"/>
      <c r="G168" s="10"/>
      <c r="H168" s="27"/>
      <c r="I168" s="10" t="s">
        <v>0</v>
      </c>
      <c r="J168" s="10"/>
      <c r="K168" s="10"/>
      <c r="L168" s="10">
        <v>0.05</v>
      </c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50">
        <v>439.3</v>
      </c>
      <c r="Z168" s="50">
        <v>860.8</v>
      </c>
      <c r="AA168" s="10" t="s">
        <v>17</v>
      </c>
      <c r="AB168" s="10" t="s">
        <v>311</v>
      </c>
      <c r="AC168" s="20">
        <v>0</v>
      </c>
      <c r="AD168" s="11" t="s">
        <v>44</v>
      </c>
      <c r="AE168" s="10" t="s">
        <v>211</v>
      </c>
      <c r="AF168" s="10" t="s">
        <v>95</v>
      </c>
      <c r="AG168" s="10">
        <v>0.5</v>
      </c>
      <c r="AH168" s="10">
        <v>0</v>
      </c>
      <c r="AI168" s="27">
        <f>0.03*60/0.5</f>
        <v>3.5999999999999996</v>
      </c>
      <c r="AJ168" s="27"/>
      <c r="AK168" s="10">
        <v>1</v>
      </c>
      <c r="AL168" s="10">
        <v>663</v>
      </c>
      <c r="AM168" s="19">
        <v>0.48399999999999999</v>
      </c>
      <c r="AN168" s="19">
        <v>0.96799999999999997</v>
      </c>
      <c r="AO168" s="19"/>
      <c r="AP168" s="19"/>
      <c r="AQ168" s="19">
        <f>Table1[[#This Row],[X_Ac]]*Table1[[#This Row],[S_Acryl_Ac]]</f>
        <v>0.46851199999999998</v>
      </c>
      <c r="AR168" s="19">
        <f>Table1[[#This Row],[Y_Acryl_Ac]]*Table1[[#This Row],[Ratio_Ac_Fa]]</f>
        <v>0.23425599999999999</v>
      </c>
      <c r="AS168" s="28">
        <f t="shared" si="27"/>
        <v>21.219647170626345</v>
      </c>
      <c r="AT168" s="29">
        <v>1</v>
      </c>
      <c r="AU168" s="10" t="s">
        <v>39</v>
      </c>
      <c r="AV168" s="19" t="s">
        <v>99</v>
      </c>
      <c r="AW168" s="10" t="s">
        <v>140</v>
      </c>
      <c r="AX168" s="10">
        <v>2015</v>
      </c>
      <c r="AY168" s="10">
        <v>0.5</v>
      </c>
      <c r="AZ168" s="10"/>
      <c r="BA168" s="20">
        <v>0.75485961123110135</v>
      </c>
      <c r="BB168" s="20">
        <v>0.37742980561555073</v>
      </c>
      <c r="BC168" s="20">
        <f>BA168*60*AR168/AY168</f>
        <v>21.219647170626345</v>
      </c>
      <c r="BD168" s="20">
        <f>BB168*60*AQ168/AY168</f>
        <v>21.219647170626349</v>
      </c>
    </row>
    <row r="169" spans="1:56" s="18" customFormat="1" ht="18" customHeight="1">
      <c r="A169" s="10">
        <v>168</v>
      </c>
      <c r="B169" s="13"/>
      <c r="C169" s="10" t="s">
        <v>10</v>
      </c>
      <c r="D169" s="10"/>
      <c r="E169" s="27">
        <v>1</v>
      </c>
      <c r="F169" s="10"/>
      <c r="G169" s="10"/>
      <c r="H169" s="27"/>
      <c r="I169" s="10" t="s">
        <v>0</v>
      </c>
      <c r="J169" s="10"/>
      <c r="K169" s="10"/>
      <c r="L169" s="10">
        <v>0.05</v>
      </c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50">
        <v>439.3</v>
      </c>
      <c r="Z169" s="50">
        <v>860.8</v>
      </c>
      <c r="AA169" s="10" t="s">
        <v>17</v>
      </c>
      <c r="AB169" s="10" t="s">
        <v>311</v>
      </c>
      <c r="AC169" s="20">
        <v>0</v>
      </c>
      <c r="AD169" s="11" t="s">
        <v>44</v>
      </c>
      <c r="AE169" s="10" t="s">
        <v>211</v>
      </c>
      <c r="AF169" s="10" t="s">
        <v>95</v>
      </c>
      <c r="AG169" s="10">
        <v>2</v>
      </c>
      <c r="AH169" s="10">
        <v>0</v>
      </c>
      <c r="AI169" s="27">
        <f>0.03*60/0.5</f>
        <v>3.5999999999999996</v>
      </c>
      <c r="AJ169" s="27"/>
      <c r="AK169" s="10">
        <v>1</v>
      </c>
      <c r="AL169" s="10">
        <v>663</v>
      </c>
      <c r="AM169" s="19">
        <v>0.36</v>
      </c>
      <c r="AN169" s="19">
        <v>0.83499999999999996</v>
      </c>
      <c r="AO169" s="19"/>
      <c r="AP169" s="19"/>
      <c r="AQ169" s="19">
        <f>Table1[[#This Row],[X_Ac]]*Table1[[#This Row],[S_Acryl_Ac]]</f>
        <v>0.30059999999999998</v>
      </c>
      <c r="AR169" s="19">
        <f>Table1[[#This Row],[Y_Acryl_Ac]]*Table1[[#This Row],[Ratio_Ac_Fa]]</f>
        <v>0.60119999999999996</v>
      </c>
      <c r="AS169" s="28">
        <f t="shared" si="27"/>
        <v>13.614647948164146</v>
      </c>
      <c r="AT169" s="29"/>
      <c r="AU169" s="10" t="s">
        <v>39</v>
      </c>
      <c r="AV169" s="19" t="s">
        <v>99</v>
      </c>
      <c r="AW169" s="10" t="s">
        <v>140</v>
      </c>
      <c r="AX169" s="10">
        <v>2015</v>
      </c>
      <c r="AY169" s="10">
        <v>0.5</v>
      </c>
      <c r="AZ169" s="10"/>
      <c r="BA169" s="20">
        <v>0.18871490280777536</v>
      </c>
      <c r="BB169" s="20">
        <v>0.37742980561555073</v>
      </c>
      <c r="BC169" s="20">
        <f>BA169*60*AR169/AY169</f>
        <v>13.614647948164146</v>
      </c>
      <c r="BD169" s="20">
        <f>BB169*60*AQ169/AY169</f>
        <v>13.614647948164146</v>
      </c>
    </row>
    <row r="170" spans="1:56" s="18" customFormat="1">
      <c r="A170" s="10">
        <v>169</v>
      </c>
      <c r="B170" s="13">
        <v>1</v>
      </c>
      <c r="C170" s="10" t="s">
        <v>12</v>
      </c>
      <c r="D170" s="10"/>
      <c r="E170" s="27">
        <v>1</v>
      </c>
      <c r="F170" s="10"/>
      <c r="G170" s="10"/>
      <c r="H170" s="27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50">
        <v>244</v>
      </c>
      <c r="Z170" s="10"/>
      <c r="AA170" s="10" t="s">
        <v>57</v>
      </c>
      <c r="AB170" s="10">
        <v>1</v>
      </c>
      <c r="AC170" s="20">
        <v>0</v>
      </c>
      <c r="AD170" s="10" t="s">
        <v>44</v>
      </c>
      <c r="AE170" s="10" t="s">
        <v>211</v>
      </c>
      <c r="AF170" s="10" t="s">
        <v>208</v>
      </c>
      <c r="AG170" s="10">
        <v>0.5</v>
      </c>
      <c r="AH170" s="10">
        <v>1</v>
      </c>
      <c r="AI170" s="27">
        <f t="shared" ref="AI170:AI203" si="28">0.06*60/0.5</f>
        <v>7.1999999999999993</v>
      </c>
      <c r="AJ170" s="27">
        <f t="shared" ref="AJ170:AJ184" si="29">55/0.5</f>
        <v>110</v>
      </c>
      <c r="AK170" s="10">
        <v>1</v>
      </c>
      <c r="AL170" s="10">
        <v>663</v>
      </c>
      <c r="AM170" s="19">
        <v>0.33400000000000002</v>
      </c>
      <c r="AN170" s="19">
        <v>0.88700000000000001</v>
      </c>
      <c r="AO170" s="19"/>
      <c r="AP170" s="19"/>
      <c r="AQ170" s="19">
        <f>Table1[[#This Row],[X_Ac]]*Table1[[#This Row],[S_Acryl_Ac]]</f>
        <v>0.29625800000000002</v>
      </c>
      <c r="AR170" s="19">
        <f>Table1[[#This Row],[Y_Acryl_Ac]]*Table1[[#This Row],[Ratio_Ac_Fa]]</f>
        <v>0.14812900000000001</v>
      </c>
      <c r="AS170" s="28">
        <f t="shared" si="27"/>
        <v>13.290380205138884</v>
      </c>
      <c r="AT170" s="29"/>
      <c r="AU170" s="10" t="s">
        <v>38</v>
      </c>
      <c r="AV170" s="19" t="s">
        <v>99</v>
      </c>
      <c r="AW170" s="10" t="s">
        <v>140</v>
      </c>
      <c r="AX170" s="10">
        <v>2017</v>
      </c>
      <c r="AY170" s="10">
        <v>0.5</v>
      </c>
      <c r="AZ170" s="10"/>
      <c r="BA170" s="20">
        <v>0.74768052424682108</v>
      </c>
      <c r="BB170" s="20">
        <v>0.37384026212341054</v>
      </c>
      <c r="BC170" s="20">
        <f>BA170*60*AR170/AY170</f>
        <v>13.290380205138884</v>
      </c>
      <c r="BD170" s="20">
        <f>BB170*60*AQ170/AY170</f>
        <v>13.290380205138884</v>
      </c>
    </row>
    <row r="171" spans="1:56" s="18" customFormat="1">
      <c r="A171" s="10">
        <v>170</v>
      </c>
      <c r="B171" s="13"/>
      <c r="C171" s="10" t="s">
        <v>12</v>
      </c>
      <c r="D171" s="10"/>
      <c r="E171" s="27">
        <v>1</v>
      </c>
      <c r="F171" s="10"/>
      <c r="G171" s="10"/>
      <c r="H171" s="27"/>
      <c r="I171" s="10" t="s">
        <v>141</v>
      </c>
      <c r="J171" s="10"/>
      <c r="K171" s="10">
        <v>0.05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50"/>
      <c r="Z171" s="50">
        <v>244</v>
      </c>
      <c r="AA171" s="10" t="s">
        <v>17</v>
      </c>
      <c r="AB171" s="10">
        <v>1</v>
      </c>
      <c r="AC171" s="20">
        <v>0</v>
      </c>
      <c r="AD171" s="10" t="s">
        <v>44</v>
      </c>
      <c r="AE171" s="10" t="s">
        <v>211</v>
      </c>
      <c r="AF171" s="10" t="s">
        <v>208</v>
      </c>
      <c r="AG171" s="10">
        <v>0.5</v>
      </c>
      <c r="AH171" s="10">
        <v>1</v>
      </c>
      <c r="AI171" s="27">
        <f t="shared" si="28"/>
        <v>7.1999999999999993</v>
      </c>
      <c r="AJ171" s="27">
        <f t="shared" si="29"/>
        <v>110</v>
      </c>
      <c r="AK171" s="10">
        <v>1</v>
      </c>
      <c r="AL171" s="10">
        <v>663</v>
      </c>
      <c r="AM171" s="19">
        <v>7.4999999999999997E-2</v>
      </c>
      <c r="AN171" s="19">
        <v>0.96199999999999997</v>
      </c>
      <c r="AO171" s="19"/>
      <c r="AP171" s="19"/>
      <c r="AQ171" s="19">
        <f>Table1[[#This Row],[X_Ac]]*Table1[[#This Row],[S_Acryl_Ac]]</f>
        <v>7.2149999999999992E-2</v>
      </c>
      <c r="AR171" s="19">
        <f>Table1[[#This Row],[Y_Acryl_Ac]]*Table1[[#This Row],[Ratio_Ac_Fa]]</f>
        <v>3.6074999999999996E-2</v>
      </c>
      <c r="AS171" s="28">
        <f t="shared" si="27"/>
        <v>3.2367089894644883</v>
      </c>
      <c r="AT171" s="29"/>
      <c r="AU171" s="10" t="s">
        <v>38</v>
      </c>
      <c r="AV171" s="19" t="s">
        <v>142</v>
      </c>
      <c r="AW171" s="10" t="s">
        <v>140</v>
      </c>
      <c r="AX171" s="10">
        <v>2017</v>
      </c>
      <c r="AY171" s="10">
        <v>0.5</v>
      </c>
      <c r="AZ171" s="10"/>
      <c r="BA171" s="20">
        <v>0.74768052424682108</v>
      </c>
      <c r="BB171" s="20">
        <v>0.37384026212341054</v>
      </c>
      <c r="BC171" s="20">
        <f>BA171*60*AR171/AY171</f>
        <v>3.2367089894644883</v>
      </c>
      <c r="BD171" s="20">
        <f>BB171*60*AQ171/AY171</f>
        <v>3.2367089894644883</v>
      </c>
    </row>
    <row r="172" spans="1:56" s="18" customFormat="1">
      <c r="A172" s="10">
        <v>171</v>
      </c>
      <c r="B172" s="13"/>
      <c r="C172" s="10" t="s">
        <v>12</v>
      </c>
      <c r="D172" s="10"/>
      <c r="E172" s="27">
        <v>1</v>
      </c>
      <c r="F172" s="10"/>
      <c r="G172" s="10"/>
      <c r="H172" s="27"/>
      <c r="I172" s="10" t="s">
        <v>86</v>
      </c>
      <c r="J172" s="10"/>
      <c r="K172" s="10">
        <v>0.05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50"/>
      <c r="Z172" s="50">
        <v>244</v>
      </c>
      <c r="AA172" s="10" t="s">
        <v>17</v>
      </c>
      <c r="AB172" s="10">
        <v>1</v>
      </c>
      <c r="AC172" s="20">
        <v>0</v>
      </c>
      <c r="AD172" s="10" t="s">
        <v>44</v>
      </c>
      <c r="AE172" s="10" t="s">
        <v>211</v>
      </c>
      <c r="AF172" s="10" t="s">
        <v>208</v>
      </c>
      <c r="AG172" s="10">
        <v>0.5</v>
      </c>
      <c r="AH172" s="10">
        <v>1</v>
      </c>
      <c r="AI172" s="27">
        <f t="shared" si="28"/>
        <v>7.1999999999999993</v>
      </c>
      <c r="AJ172" s="27">
        <f t="shared" si="29"/>
        <v>110</v>
      </c>
      <c r="AK172" s="10">
        <v>1</v>
      </c>
      <c r="AL172" s="10">
        <v>663</v>
      </c>
      <c r="AM172" s="19">
        <v>0.14899999999999999</v>
      </c>
      <c r="AN172" s="19">
        <v>0.96899999999999997</v>
      </c>
      <c r="AO172" s="19"/>
      <c r="AP172" s="19"/>
      <c r="AQ172" s="19">
        <f>Table1[[#This Row],[X_Ac]]*Table1[[#This Row],[S_Acryl_Ac]]</f>
        <v>0.14438099999999998</v>
      </c>
      <c r="AR172" s="19">
        <f>Table1[[#This Row],[Y_Acryl_Ac]]*Table1[[#This Row],[Ratio_Ac_Fa]]</f>
        <v>7.2190499999999991E-2</v>
      </c>
      <c r="AS172" s="28">
        <f t="shared" si="27"/>
        <v>6.477051706276816</v>
      </c>
      <c r="AT172" s="29"/>
      <c r="AU172" s="10" t="s">
        <v>38</v>
      </c>
      <c r="AV172" s="19" t="s">
        <v>142</v>
      </c>
      <c r="AW172" s="10" t="s">
        <v>140</v>
      </c>
      <c r="AX172" s="10">
        <v>2017</v>
      </c>
      <c r="AY172" s="10">
        <v>0.5</v>
      </c>
      <c r="AZ172" s="10"/>
      <c r="BA172" s="20">
        <v>0.74768052424682108</v>
      </c>
      <c r="BB172" s="20">
        <v>0.37384026212341054</v>
      </c>
      <c r="BC172" s="20">
        <f>BA172*60*AR172/AY172</f>
        <v>6.477051706276816</v>
      </c>
      <c r="BD172" s="20">
        <f>BB172*60*AQ172/AY172</f>
        <v>6.477051706276816</v>
      </c>
    </row>
    <row r="173" spans="1:56" s="18" customFormat="1">
      <c r="A173" s="10">
        <v>172</v>
      </c>
      <c r="B173" s="13"/>
      <c r="C173" s="10" t="s">
        <v>12</v>
      </c>
      <c r="D173" s="10"/>
      <c r="E173" s="27">
        <v>1</v>
      </c>
      <c r="F173" s="10"/>
      <c r="G173" s="10"/>
      <c r="H173" s="27"/>
      <c r="I173" s="10" t="s">
        <v>115</v>
      </c>
      <c r="J173" s="10"/>
      <c r="K173" s="10">
        <v>0.05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50"/>
      <c r="Z173" s="50">
        <v>244</v>
      </c>
      <c r="AA173" s="10" t="s">
        <v>17</v>
      </c>
      <c r="AB173" s="10">
        <v>1</v>
      </c>
      <c r="AC173" s="20">
        <v>0</v>
      </c>
      <c r="AD173" s="10" t="s">
        <v>44</v>
      </c>
      <c r="AE173" s="10" t="s">
        <v>211</v>
      </c>
      <c r="AF173" s="10" t="s">
        <v>208</v>
      </c>
      <c r="AG173" s="10">
        <v>0.5</v>
      </c>
      <c r="AH173" s="10">
        <v>1</v>
      </c>
      <c r="AI173" s="27">
        <f t="shared" si="28"/>
        <v>7.1999999999999993</v>
      </c>
      <c r="AJ173" s="27">
        <f t="shared" si="29"/>
        <v>110</v>
      </c>
      <c r="AK173" s="10">
        <v>1</v>
      </c>
      <c r="AL173" s="10">
        <v>663</v>
      </c>
      <c r="AM173" s="19">
        <v>0.157</v>
      </c>
      <c r="AN173" s="19">
        <v>0.97099999999999997</v>
      </c>
      <c r="AO173" s="19"/>
      <c r="AP173" s="19"/>
      <c r="AQ173" s="19">
        <f>Table1[[#This Row],[X_Ac]]*Table1[[#This Row],[S_Acryl_Ac]]</f>
        <v>0.152447</v>
      </c>
      <c r="AR173" s="19">
        <f>Table1[[#This Row],[Y_Acryl_Ac]]*Table1[[#This Row],[Ratio_Ac_Fa]]</f>
        <v>7.62235E-2</v>
      </c>
      <c r="AS173" s="28">
        <f t="shared" si="27"/>
        <v>6.838899172791308</v>
      </c>
      <c r="AT173" s="29"/>
      <c r="AU173" s="10" t="s">
        <v>38</v>
      </c>
      <c r="AV173" s="19" t="s">
        <v>142</v>
      </c>
      <c r="AW173" s="10" t="s">
        <v>140</v>
      </c>
      <c r="AX173" s="10">
        <v>2017</v>
      </c>
      <c r="AY173" s="10">
        <v>0.5</v>
      </c>
      <c r="AZ173" s="10"/>
      <c r="BA173" s="20">
        <v>0.74768052424682108</v>
      </c>
      <c r="BB173" s="20">
        <v>0.37384026212341054</v>
      </c>
      <c r="BC173" s="20">
        <f>BA173*60*AR173/AY173</f>
        <v>6.838899172791308</v>
      </c>
      <c r="BD173" s="20">
        <f>BB173*60*AQ173/AY173</f>
        <v>6.838899172791308</v>
      </c>
    </row>
    <row r="174" spans="1:56" s="18" customFormat="1">
      <c r="A174" s="10">
        <v>173</v>
      </c>
      <c r="B174" s="13"/>
      <c r="C174" s="10" t="s">
        <v>12</v>
      </c>
      <c r="D174" s="10"/>
      <c r="E174" s="27">
        <v>1</v>
      </c>
      <c r="F174" s="10"/>
      <c r="G174" s="10"/>
      <c r="H174" s="27"/>
      <c r="I174" s="10" t="s">
        <v>45</v>
      </c>
      <c r="J174" s="10"/>
      <c r="K174" s="10">
        <v>0.05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50"/>
      <c r="Z174" s="50">
        <v>244</v>
      </c>
      <c r="AA174" s="10" t="s">
        <v>17</v>
      </c>
      <c r="AB174" s="10">
        <v>1</v>
      </c>
      <c r="AC174" s="20">
        <v>0</v>
      </c>
      <c r="AD174" s="10" t="s">
        <v>44</v>
      </c>
      <c r="AE174" s="10" t="s">
        <v>211</v>
      </c>
      <c r="AF174" s="10" t="s">
        <v>208</v>
      </c>
      <c r="AG174" s="10">
        <v>0.5</v>
      </c>
      <c r="AH174" s="10">
        <v>1</v>
      </c>
      <c r="AI174" s="27">
        <f t="shared" si="28"/>
        <v>7.1999999999999993</v>
      </c>
      <c r="AJ174" s="27">
        <f t="shared" si="29"/>
        <v>110</v>
      </c>
      <c r="AK174" s="10">
        <v>1</v>
      </c>
      <c r="AL174" s="10">
        <v>663</v>
      </c>
      <c r="AM174" s="19">
        <v>0.25600000000000001</v>
      </c>
      <c r="AN174" s="19">
        <v>0.96399999999999997</v>
      </c>
      <c r="AO174" s="19"/>
      <c r="AP174" s="19"/>
      <c r="AQ174" s="19">
        <f>Table1[[#This Row],[X_Ac]]*Table1[[#This Row],[S_Acryl_Ac]]</f>
        <v>0.246784</v>
      </c>
      <c r="AR174" s="19">
        <f>Table1[[#This Row],[Y_Acryl_Ac]]*Table1[[#This Row],[Ratio_Ac_Fa]]</f>
        <v>0.123392</v>
      </c>
      <c r="AS174" s="28">
        <f t="shared" si="27"/>
        <v>11.070935429743649</v>
      </c>
      <c r="AT174" s="29"/>
      <c r="AU174" s="10" t="s">
        <v>38</v>
      </c>
      <c r="AV174" s="19" t="s">
        <v>142</v>
      </c>
      <c r="AW174" s="10" t="s">
        <v>140</v>
      </c>
      <c r="AX174" s="10">
        <v>2017</v>
      </c>
      <c r="AY174" s="10">
        <v>0.5</v>
      </c>
      <c r="AZ174" s="10"/>
      <c r="BA174" s="20">
        <v>0.74768052424682108</v>
      </c>
      <c r="BB174" s="20">
        <v>0.37384026212341054</v>
      </c>
      <c r="BC174" s="20">
        <f>BA174*60*AR174/AY174</f>
        <v>11.070935429743649</v>
      </c>
      <c r="BD174" s="20">
        <f>BB174*60*AQ174/AY174</f>
        <v>11.070935429743649</v>
      </c>
    </row>
    <row r="175" spans="1:56" s="18" customFormat="1">
      <c r="A175" s="10">
        <v>174</v>
      </c>
      <c r="B175" s="13"/>
      <c r="C175" s="10" t="s">
        <v>12</v>
      </c>
      <c r="D175" s="10"/>
      <c r="E175" s="27">
        <v>1</v>
      </c>
      <c r="F175" s="10"/>
      <c r="G175" s="10"/>
      <c r="H175" s="27"/>
      <c r="I175" s="10" t="s">
        <v>0</v>
      </c>
      <c r="J175" s="10"/>
      <c r="K175" s="10">
        <v>0.05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50"/>
      <c r="Z175" s="50">
        <v>244</v>
      </c>
      <c r="AA175" s="10" t="s">
        <v>17</v>
      </c>
      <c r="AB175" s="10">
        <v>1</v>
      </c>
      <c r="AC175" s="20">
        <v>0</v>
      </c>
      <c r="AD175" s="10" t="s">
        <v>44</v>
      </c>
      <c r="AE175" s="10" t="s">
        <v>211</v>
      </c>
      <c r="AF175" s="10" t="s">
        <v>208</v>
      </c>
      <c r="AG175" s="10">
        <v>0.5</v>
      </c>
      <c r="AH175" s="10">
        <v>1</v>
      </c>
      <c r="AI175" s="27">
        <f t="shared" si="28"/>
        <v>7.1999999999999993</v>
      </c>
      <c r="AJ175" s="27">
        <f t="shared" si="29"/>
        <v>110</v>
      </c>
      <c r="AK175" s="10">
        <v>1</v>
      </c>
      <c r="AL175" s="10">
        <v>663</v>
      </c>
      <c r="AM175" s="19">
        <v>0.28299999999999997</v>
      </c>
      <c r="AN175" s="19">
        <v>0.94799999999999995</v>
      </c>
      <c r="AO175" s="19"/>
      <c r="AP175" s="19"/>
      <c r="AQ175" s="19">
        <f>Table1[[#This Row],[X_Ac]]*Table1[[#This Row],[S_Acryl_Ac]]</f>
        <v>0.26828399999999997</v>
      </c>
      <c r="AR175" s="19">
        <f>Table1[[#This Row],[Y_Acryl_Ac]]*Table1[[#This Row],[Ratio_Ac_Fa]]</f>
        <v>0.13414199999999998</v>
      </c>
      <c r="AS175" s="28">
        <f t="shared" si="27"/>
        <v>12.035443306022048</v>
      </c>
      <c r="AT175" s="29"/>
      <c r="AU175" s="10" t="s">
        <v>38</v>
      </c>
      <c r="AV175" s="19" t="s">
        <v>142</v>
      </c>
      <c r="AW175" s="10" t="s">
        <v>140</v>
      </c>
      <c r="AX175" s="10">
        <v>2017</v>
      </c>
      <c r="AY175" s="10">
        <v>0.5</v>
      </c>
      <c r="AZ175" s="10"/>
      <c r="BA175" s="20">
        <v>0.74768052424682108</v>
      </c>
      <c r="BB175" s="20">
        <v>0.37384026212341054</v>
      </c>
      <c r="BC175" s="20">
        <f>BA175*60*AR175/AY175</f>
        <v>12.035443306022048</v>
      </c>
      <c r="BD175" s="20">
        <f>BB175*60*AQ175/AY175</f>
        <v>12.035443306022048</v>
      </c>
    </row>
    <row r="176" spans="1:56" s="18" customFormat="1">
      <c r="A176" s="10">
        <v>175</v>
      </c>
      <c r="B176" s="13"/>
      <c r="C176" s="10" t="s">
        <v>12</v>
      </c>
      <c r="D176" s="10"/>
      <c r="E176" s="27">
        <v>1</v>
      </c>
      <c r="F176" s="10"/>
      <c r="G176" s="10"/>
      <c r="H176" s="27"/>
      <c r="I176" s="10" t="s">
        <v>80</v>
      </c>
      <c r="J176" s="10"/>
      <c r="K176" s="10">
        <v>0.05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50"/>
      <c r="Z176" s="50">
        <v>244</v>
      </c>
      <c r="AA176" s="10" t="s">
        <v>17</v>
      </c>
      <c r="AB176" s="10">
        <v>1</v>
      </c>
      <c r="AC176" s="20">
        <v>0</v>
      </c>
      <c r="AD176" s="10" t="s">
        <v>44</v>
      </c>
      <c r="AE176" s="10" t="s">
        <v>211</v>
      </c>
      <c r="AF176" s="10" t="s">
        <v>208</v>
      </c>
      <c r="AG176" s="10">
        <v>0.5</v>
      </c>
      <c r="AH176" s="10">
        <v>1</v>
      </c>
      <c r="AI176" s="27">
        <f t="shared" si="28"/>
        <v>7.1999999999999993</v>
      </c>
      <c r="AJ176" s="27">
        <f t="shared" si="29"/>
        <v>110</v>
      </c>
      <c r="AK176" s="10">
        <v>1</v>
      </c>
      <c r="AL176" s="10">
        <v>663</v>
      </c>
      <c r="AM176" s="19">
        <v>0.29199999999999998</v>
      </c>
      <c r="AN176" s="19">
        <v>0.95599999999999996</v>
      </c>
      <c r="AO176" s="19"/>
      <c r="AP176" s="19"/>
      <c r="AQ176" s="19">
        <f>Table1[[#This Row],[X_Ac]]*Table1[[#This Row],[S_Acryl_Ac]]</f>
        <v>0.27915199999999996</v>
      </c>
      <c r="AR176" s="19">
        <f>Table1[[#This Row],[Y_Acryl_Ac]]*Table1[[#This Row],[Ratio_Ac_Fa]]</f>
        <v>0.13957599999999998</v>
      </c>
      <c r="AS176" s="28">
        <f t="shared" si="27"/>
        <v>12.522990822272915</v>
      </c>
      <c r="AT176" s="29"/>
      <c r="AU176" s="10" t="s">
        <v>38</v>
      </c>
      <c r="AV176" s="19" t="s">
        <v>142</v>
      </c>
      <c r="AW176" s="10" t="s">
        <v>140</v>
      </c>
      <c r="AX176" s="10">
        <v>2017</v>
      </c>
      <c r="AY176" s="10">
        <v>0.5</v>
      </c>
      <c r="AZ176" s="10"/>
      <c r="BA176" s="20">
        <v>0.74768052424682108</v>
      </c>
      <c r="BB176" s="20">
        <v>0.37384026212341054</v>
      </c>
      <c r="BC176" s="20">
        <f>BA176*60*AR176/AY176</f>
        <v>12.522990822272915</v>
      </c>
      <c r="BD176" s="20">
        <f>BB176*60*AQ176/AY176</f>
        <v>12.522990822272915</v>
      </c>
    </row>
    <row r="177" spans="1:56" s="18" customFormat="1">
      <c r="A177" s="10">
        <v>176</v>
      </c>
      <c r="B177" s="13"/>
      <c r="C177" s="10" t="s">
        <v>12</v>
      </c>
      <c r="D177" s="10"/>
      <c r="E177" s="27">
        <v>1</v>
      </c>
      <c r="F177" s="10"/>
      <c r="G177" s="10"/>
      <c r="H177" s="27"/>
      <c r="I177" s="10" t="s">
        <v>81</v>
      </c>
      <c r="J177" s="10"/>
      <c r="K177" s="10">
        <v>0.05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50"/>
      <c r="Z177" s="50">
        <v>244</v>
      </c>
      <c r="AA177" s="10" t="s">
        <v>17</v>
      </c>
      <c r="AB177" s="10">
        <v>1</v>
      </c>
      <c r="AC177" s="20">
        <v>0</v>
      </c>
      <c r="AD177" s="10" t="s">
        <v>44</v>
      </c>
      <c r="AE177" s="10" t="s">
        <v>211</v>
      </c>
      <c r="AF177" s="10" t="s">
        <v>208</v>
      </c>
      <c r="AG177" s="10">
        <v>0.5</v>
      </c>
      <c r="AH177" s="10">
        <v>1</v>
      </c>
      <c r="AI177" s="27">
        <f t="shared" si="28"/>
        <v>7.1999999999999993</v>
      </c>
      <c r="AJ177" s="27">
        <f t="shared" si="29"/>
        <v>110</v>
      </c>
      <c r="AK177" s="10">
        <v>1</v>
      </c>
      <c r="AL177" s="10">
        <v>663</v>
      </c>
      <c r="AM177" s="19">
        <v>0.30399999999999999</v>
      </c>
      <c r="AN177" s="19">
        <v>0.96599999999999997</v>
      </c>
      <c r="AO177" s="19"/>
      <c r="AP177" s="19"/>
      <c r="AQ177" s="19">
        <f>Table1[[#This Row],[X_Ac]]*Table1[[#This Row],[S_Acryl_Ac]]</f>
        <v>0.29366399999999998</v>
      </c>
      <c r="AR177" s="19">
        <f>Table1[[#This Row],[Y_Acryl_Ac]]*Table1[[#This Row],[Ratio_Ac_Fa]]</f>
        <v>0.14683199999999999</v>
      </c>
      <c r="AS177" s="28">
        <f t="shared" si="27"/>
        <v>13.174011208345107</v>
      </c>
      <c r="AT177" s="29"/>
      <c r="AU177" s="10" t="s">
        <v>38</v>
      </c>
      <c r="AV177" s="19" t="s">
        <v>142</v>
      </c>
      <c r="AW177" s="10" t="s">
        <v>140</v>
      </c>
      <c r="AX177" s="10">
        <v>2017</v>
      </c>
      <c r="AY177" s="10">
        <v>0.5</v>
      </c>
      <c r="AZ177" s="10"/>
      <c r="BA177" s="20">
        <v>0.74768052424682108</v>
      </c>
      <c r="BB177" s="20">
        <v>0.37384026212341054</v>
      </c>
      <c r="BC177" s="20">
        <f>BA177*60*AR177/AY177</f>
        <v>13.174011208345107</v>
      </c>
      <c r="BD177" s="20">
        <f>BB177*60*AQ177/AY177</f>
        <v>13.174011208345107</v>
      </c>
    </row>
    <row r="178" spans="1:56" s="18" customFormat="1">
      <c r="A178" s="10">
        <v>177</v>
      </c>
      <c r="B178" s="13"/>
      <c r="C178" s="10" t="s">
        <v>12</v>
      </c>
      <c r="D178" s="10"/>
      <c r="E178" s="27">
        <v>1</v>
      </c>
      <c r="F178" s="10"/>
      <c r="G178" s="10"/>
      <c r="H178" s="27"/>
      <c r="I178" s="10" t="s">
        <v>82</v>
      </c>
      <c r="J178" s="10"/>
      <c r="K178" s="10">
        <v>0.05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50"/>
      <c r="Z178" s="50">
        <v>244</v>
      </c>
      <c r="AA178" s="10" t="s">
        <v>17</v>
      </c>
      <c r="AB178" s="10">
        <v>1</v>
      </c>
      <c r="AC178" s="20">
        <v>0</v>
      </c>
      <c r="AD178" s="10" t="s">
        <v>44</v>
      </c>
      <c r="AE178" s="10" t="s">
        <v>211</v>
      </c>
      <c r="AF178" s="10" t="s">
        <v>208</v>
      </c>
      <c r="AG178" s="10">
        <v>0.5</v>
      </c>
      <c r="AH178" s="10">
        <v>1</v>
      </c>
      <c r="AI178" s="27">
        <f t="shared" si="28"/>
        <v>7.1999999999999993</v>
      </c>
      <c r="AJ178" s="27">
        <f t="shared" si="29"/>
        <v>110</v>
      </c>
      <c r="AK178" s="10">
        <v>1</v>
      </c>
      <c r="AL178" s="10">
        <v>663</v>
      </c>
      <c r="AM178" s="19">
        <v>0.34300000000000003</v>
      </c>
      <c r="AN178" s="19">
        <v>0.94399999999999995</v>
      </c>
      <c r="AO178" s="19"/>
      <c r="AP178" s="19"/>
      <c r="AQ178" s="19">
        <f>Table1[[#This Row],[X_Ac]]*Table1[[#This Row],[S_Acryl_Ac]]</f>
        <v>0.32379200000000002</v>
      </c>
      <c r="AR178" s="19">
        <f>Table1[[#This Row],[Y_Acryl_Ac]]*Table1[[#This Row],[Ratio_Ac_Fa]]</f>
        <v>0.16189600000000001</v>
      </c>
      <c r="AS178" s="28">
        <f t="shared" si="27"/>
        <v>14.525578338415603</v>
      </c>
      <c r="AT178" s="29"/>
      <c r="AU178" s="10" t="s">
        <v>38</v>
      </c>
      <c r="AV178" s="19" t="s">
        <v>142</v>
      </c>
      <c r="AW178" s="10" t="s">
        <v>140</v>
      </c>
      <c r="AX178" s="10">
        <v>2017</v>
      </c>
      <c r="AY178" s="10">
        <v>0.5</v>
      </c>
      <c r="AZ178" s="10"/>
      <c r="BA178" s="20">
        <v>0.74768052424682108</v>
      </c>
      <c r="BB178" s="20">
        <v>0.37384026212341054</v>
      </c>
      <c r="BC178" s="20">
        <f>BA178*60*AR178/AY178</f>
        <v>14.525578338415603</v>
      </c>
      <c r="BD178" s="20">
        <f>BB178*60*AQ178/AY178</f>
        <v>14.525578338415603</v>
      </c>
    </row>
    <row r="179" spans="1:56" s="18" customFormat="1">
      <c r="A179" s="10">
        <v>178</v>
      </c>
      <c r="B179" s="13"/>
      <c r="C179" s="10" t="s">
        <v>12</v>
      </c>
      <c r="D179" s="10"/>
      <c r="E179" s="27">
        <v>1</v>
      </c>
      <c r="F179" s="10"/>
      <c r="G179" s="10"/>
      <c r="H179" s="27"/>
      <c r="I179" s="10" t="s">
        <v>37</v>
      </c>
      <c r="J179" s="10"/>
      <c r="K179" s="10">
        <v>0.05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50"/>
      <c r="Z179" s="50">
        <v>244</v>
      </c>
      <c r="AA179" s="10" t="s">
        <v>17</v>
      </c>
      <c r="AB179" s="10">
        <v>1</v>
      </c>
      <c r="AC179" s="20">
        <v>0</v>
      </c>
      <c r="AD179" s="10" t="s">
        <v>44</v>
      </c>
      <c r="AE179" s="10" t="s">
        <v>211</v>
      </c>
      <c r="AF179" s="10" t="s">
        <v>208</v>
      </c>
      <c r="AG179" s="10">
        <v>0.5</v>
      </c>
      <c r="AH179" s="10">
        <v>1</v>
      </c>
      <c r="AI179" s="27">
        <f t="shared" si="28"/>
        <v>7.1999999999999993</v>
      </c>
      <c r="AJ179" s="27">
        <f t="shared" si="29"/>
        <v>110</v>
      </c>
      <c r="AK179" s="10">
        <v>1</v>
      </c>
      <c r="AL179" s="10">
        <v>663</v>
      </c>
      <c r="AM179" s="19">
        <v>0.376</v>
      </c>
      <c r="AN179" s="19">
        <v>0.95899999999999996</v>
      </c>
      <c r="AO179" s="19"/>
      <c r="AP179" s="19"/>
      <c r="AQ179" s="19">
        <f>Table1[[#This Row],[X_Ac]]*Table1[[#This Row],[S_Acryl_Ac]]</f>
        <v>0.36058399999999996</v>
      </c>
      <c r="AR179" s="19">
        <f>Table1[[#This Row],[Y_Acryl_Ac]]*Table1[[#This Row],[Ratio_Ac_Fa]]</f>
        <v>0.18029199999999998</v>
      </c>
      <c r="AS179" s="28">
        <f t="shared" si="27"/>
        <v>16.176098049300943</v>
      </c>
      <c r="AT179" s="29"/>
      <c r="AU179" s="10" t="s">
        <v>38</v>
      </c>
      <c r="AV179" s="19" t="s">
        <v>99</v>
      </c>
      <c r="AW179" s="10" t="s">
        <v>140</v>
      </c>
      <c r="AX179" s="10">
        <v>2017</v>
      </c>
      <c r="AY179" s="10">
        <v>0.5</v>
      </c>
      <c r="AZ179" s="10"/>
      <c r="BA179" s="20">
        <v>0.74768052424682108</v>
      </c>
      <c r="BB179" s="20">
        <v>0.37384026212341054</v>
      </c>
      <c r="BC179" s="20">
        <f>BA179*60*AR179/AY179</f>
        <v>16.176098049300943</v>
      </c>
      <c r="BD179" s="20">
        <f>BB179*60*AQ179/AY179</f>
        <v>16.176098049300943</v>
      </c>
    </row>
    <row r="180" spans="1:56" s="18" customFormat="1">
      <c r="A180" s="10">
        <v>179</v>
      </c>
      <c r="B180" s="13">
        <v>1</v>
      </c>
      <c r="C180" s="10" t="s">
        <v>12</v>
      </c>
      <c r="D180" s="10"/>
      <c r="E180" s="27">
        <v>1</v>
      </c>
      <c r="F180" s="10"/>
      <c r="G180" s="10"/>
      <c r="H180" s="27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50">
        <v>244</v>
      </c>
      <c r="Z180" s="10"/>
      <c r="AA180" s="10" t="s">
        <v>57</v>
      </c>
      <c r="AB180" s="10">
        <v>1</v>
      </c>
      <c r="AC180" s="20">
        <v>0</v>
      </c>
      <c r="AD180" s="10" t="s">
        <v>44</v>
      </c>
      <c r="AE180" s="10" t="s">
        <v>211</v>
      </c>
      <c r="AF180" s="10" t="s">
        <v>208</v>
      </c>
      <c r="AG180" s="10">
        <v>0.5</v>
      </c>
      <c r="AH180" s="10">
        <v>1</v>
      </c>
      <c r="AI180" s="27">
        <f t="shared" si="28"/>
        <v>7.1999999999999993</v>
      </c>
      <c r="AJ180" s="27">
        <f t="shared" si="29"/>
        <v>110</v>
      </c>
      <c r="AK180" s="10">
        <v>1</v>
      </c>
      <c r="AL180" s="10">
        <v>663</v>
      </c>
      <c r="AM180" s="19">
        <v>0.38957747338523302</v>
      </c>
      <c r="AN180" s="19">
        <v>0.85915492957746498</v>
      </c>
      <c r="AO180" s="19"/>
      <c r="AP180" s="19"/>
      <c r="AQ180" s="19">
        <f>Table1[[#This Row],[X_Ac]]*Table1[[#This Row],[S_Acryl_Ac]]</f>
        <v>0.33470740671125659</v>
      </c>
      <c r="AR180" s="19">
        <f>Table1[[#This Row],[Y_Acryl_Ac]]*Table1[[#This Row],[Ratio_Ac_Fa]]</f>
        <v>0.1673537033556283</v>
      </c>
      <c r="AS180" s="28">
        <f t="shared" si="27"/>
        <v>15.015252559149978</v>
      </c>
      <c r="AT180" s="29" t="s">
        <v>252</v>
      </c>
      <c r="AU180" s="10" t="s">
        <v>38</v>
      </c>
      <c r="AV180" s="19" t="s">
        <v>99</v>
      </c>
      <c r="AW180" s="10" t="s">
        <v>140</v>
      </c>
      <c r="AX180" s="10">
        <v>2017</v>
      </c>
      <c r="AY180" s="10">
        <v>0.5</v>
      </c>
      <c r="AZ180" s="10"/>
      <c r="BA180" s="20">
        <v>0.74768052424682108</v>
      </c>
      <c r="BB180" s="20">
        <v>0.37384026212341054</v>
      </c>
      <c r="BC180" s="20">
        <f>BA180*60*AR180/AY180</f>
        <v>15.015252559149978</v>
      </c>
      <c r="BD180" s="20">
        <f>BB180*60*AQ180/AY180</f>
        <v>15.015252559149978</v>
      </c>
    </row>
    <row r="181" spans="1:56" s="18" customFormat="1">
      <c r="A181" s="10">
        <v>180</v>
      </c>
      <c r="B181" s="13"/>
      <c r="C181" s="10" t="s">
        <v>12</v>
      </c>
      <c r="D181" s="10"/>
      <c r="E181" s="27">
        <v>1</v>
      </c>
      <c r="F181" s="10"/>
      <c r="G181" s="10"/>
      <c r="H181" s="27"/>
      <c r="I181" s="10" t="s">
        <v>37</v>
      </c>
      <c r="J181" s="10"/>
      <c r="K181" s="10">
        <v>0.01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50">
        <v>235</v>
      </c>
      <c r="Z181" s="50">
        <v>244</v>
      </c>
      <c r="AA181" s="10" t="s">
        <v>17</v>
      </c>
      <c r="AB181" s="10">
        <v>1</v>
      </c>
      <c r="AC181" s="20">
        <v>0</v>
      </c>
      <c r="AD181" s="10" t="s">
        <v>44</v>
      </c>
      <c r="AE181" s="10" t="s">
        <v>211</v>
      </c>
      <c r="AF181" s="10" t="s">
        <v>208</v>
      </c>
      <c r="AG181" s="10">
        <v>0.5</v>
      </c>
      <c r="AH181" s="10">
        <v>1</v>
      </c>
      <c r="AI181" s="27">
        <f t="shared" si="28"/>
        <v>7.1999999999999993</v>
      </c>
      <c r="AJ181" s="27">
        <f t="shared" si="29"/>
        <v>110</v>
      </c>
      <c r="AK181" s="10">
        <v>1</v>
      </c>
      <c r="AL181" s="10">
        <v>663</v>
      </c>
      <c r="AM181" s="19">
        <v>0.38957747338523302</v>
      </c>
      <c r="AN181" s="19">
        <v>0.88591549295774596</v>
      </c>
      <c r="AO181" s="19"/>
      <c r="AP181" s="19"/>
      <c r="AQ181" s="19">
        <f>Table1[[#This Row],[X_Ac]]*Table1[[#This Row],[S_Acryl_Ac]]</f>
        <v>0.34513271937931189</v>
      </c>
      <c r="AR181" s="19">
        <f>Table1[[#This Row],[Y_Acryl_Ac]]*Table1[[#This Row],[Ratio_Ac_Fa]]</f>
        <v>0.17256635968965595</v>
      </c>
      <c r="AS181" s="28">
        <f t="shared" si="27"/>
        <v>15.482940753615294</v>
      </c>
      <c r="AT181" s="29" t="s">
        <v>253</v>
      </c>
      <c r="AU181" s="10" t="s">
        <v>38</v>
      </c>
      <c r="AV181" s="19" t="s">
        <v>99</v>
      </c>
      <c r="AW181" s="10" t="s">
        <v>140</v>
      </c>
      <c r="AX181" s="10">
        <v>2017</v>
      </c>
      <c r="AY181" s="10">
        <v>0.5</v>
      </c>
      <c r="AZ181" s="10"/>
      <c r="BA181" s="20">
        <v>0.74768052424682108</v>
      </c>
      <c r="BB181" s="20">
        <v>0.37384026212341054</v>
      </c>
      <c r="BC181" s="20">
        <f>BA181*60*AR181/AY181</f>
        <v>15.482940753615294</v>
      </c>
      <c r="BD181" s="20">
        <f>BB181*60*AQ181/AY181</f>
        <v>15.482940753615294</v>
      </c>
    </row>
    <row r="182" spans="1:56" s="18" customFormat="1">
      <c r="A182" s="10">
        <v>181</v>
      </c>
      <c r="B182" s="13"/>
      <c r="C182" s="10" t="s">
        <v>12</v>
      </c>
      <c r="D182" s="10"/>
      <c r="E182" s="27">
        <v>1</v>
      </c>
      <c r="F182" s="10"/>
      <c r="G182" s="10"/>
      <c r="H182" s="27"/>
      <c r="I182" s="10" t="s">
        <v>37</v>
      </c>
      <c r="J182" s="10"/>
      <c r="K182" s="10">
        <v>0.05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50">
        <v>231</v>
      </c>
      <c r="Z182" s="50">
        <v>244</v>
      </c>
      <c r="AA182" s="10" t="s">
        <v>17</v>
      </c>
      <c r="AB182" s="10">
        <v>1</v>
      </c>
      <c r="AC182" s="20">
        <v>0</v>
      </c>
      <c r="AD182" s="10" t="s">
        <v>44</v>
      </c>
      <c r="AE182" s="10" t="s">
        <v>211</v>
      </c>
      <c r="AF182" s="10" t="s">
        <v>208</v>
      </c>
      <c r="AG182" s="10">
        <v>0.5</v>
      </c>
      <c r="AH182" s="10">
        <v>1</v>
      </c>
      <c r="AI182" s="27">
        <f t="shared" si="28"/>
        <v>7.1999999999999993</v>
      </c>
      <c r="AJ182" s="27">
        <f t="shared" si="29"/>
        <v>110</v>
      </c>
      <c r="AK182" s="10">
        <v>1</v>
      </c>
      <c r="AL182" s="10">
        <v>663</v>
      </c>
      <c r="AM182" s="19">
        <v>0.43070422965036298</v>
      </c>
      <c r="AN182" s="19">
        <v>0.92676056338028101</v>
      </c>
      <c r="AO182" s="19"/>
      <c r="AP182" s="19"/>
      <c r="AQ182" s="19">
        <f>Table1[[#This Row],[X_Ac]]*Table1[[#This Row],[S_Acryl_Ac]]</f>
        <v>0.39915969452104033</v>
      </c>
      <c r="AR182" s="19">
        <f>Table1[[#This Row],[Y_Acryl_Ac]]*Table1[[#This Row],[Ratio_Ac_Fa]]</f>
        <v>0.19957984726052017</v>
      </c>
      <c r="AS182" s="28">
        <f t="shared" si="27"/>
        <v>17.906635779461542</v>
      </c>
      <c r="AT182" s="29" t="s">
        <v>254</v>
      </c>
      <c r="AU182" s="10" t="s">
        <v>38</v>
      </c>
      <c r="AV182" s="19" t="s">
        <v>99</v>
      </c>
      <c r="AW182" s="10" t="s">
        <v>140</v>
      </c>
      <c r="AX182" s="10">
        <v>2017</v>
      </c>
      <c r="AY182" s="10">
        <v>0.5</v>
      </c>
      <c r="AZ182" s="10"/>
      <c r="BA182" s="20">
        <v>0.74768052424682108</v>
      </c>
      <c r="BB182" s="20">
        <v>0.37384026212341054</v>
      </c>
      <c r="BC182" s="20">
        <f>BA182*60*AR182/AY182</f>
        <v>17.906635779461542</v>
      </c>
      <c r="BD182" s="20">
        <f>BB182*60*AQ182/AY182</f>
        <v>17.906635779461542</v>
      </c>
    </row>
    <row r="183" spans="1:56" s="18" customFormat="1">
      <c r="A183" s="10">
        <v>182</v>
      </c>
      <c r="B183" s="13"/>
      <c r="C183" s="10" t="s">
        <v>12</v>
      </c>
      <c r="D183" s="10"/>
      <c r="E183" s="27">
        <v>1</v>
      </c>
      <c r="F183" s="10"/>
      <c r="G183" s="10"/>
      <c r="H183" s="27"/>
      <c r="I183" s="10" t="s">
        <v>37</v>
      </c>
      <c r="J183" s="10"/>
      <c r="K183" s="10">
        <v>0.1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50">
        <v>219</v>
      </c>
      <c r="Z183" s="50">
        <v>244</v>
      </c>
      <c r="AA183" s="10" t="s">
        <v>17</v>
      </c>
      <c r="AB183" s="10">
        <v>1</v>
      </c>
      <c r="AC183" s="20">
        <v>0</v>
      </c>
      <c r="AD183" s="10" t="s">
        <v>44</v>
      </c>
      <c r="AE183" s="10" t="s">
        <v>211</v>
      </c>
      <c r="AF183" s="10" t="s">
        <v>208</v>
      </c>
      <c r="AG183" s="10">
        <v>0.5</v>
      </c>
      <c r="AH183" s="10">
        <v>1</v>
      </c>
      <c r="AI183" s="27">
        <f t="shared" si="28"/>
        <v>7.1999999999999993</v>
      </c>
      <c r="AJ183" s="27">
        <f t="shared" si="29"/>
        <v>110</v>
      </c>
      <c r="AK183" s="10">
        <v>1</v>
      </c>
      <c r="AL183" s="10">
        <v>663</v>
      </c>
      <c r="AM183" s="19">
        <v>0.41774648746974002</v>
      </c>
      <c r="AN183" s="19">
        <v>0.95774647887323905</v>
      </c>
      <c r="AO183" s="19"/>
      <c r="AP183" s="19"/>
      <c r="AQ183" s="19">
        <f>Table1[[#This Row],[X_Ac]]*Table1[[#This Row],[S_Acryl_Ac]]</f>
        <v>0.40009522743580717</v>
      </c>
      <c r="AR183" s="19">
        <f>Table1[[#This Row],[Y_Acryl_Ac]]*Table1[[#This Row],[Ratio_Ac_Fa]]</f>
        <v>0.20004761371790358</v>
      </c>
      <c r="AS183" s="28">
        <f t="shared" si="27"/>
        <v>17.948604563871324</v>
      </c>
      <c r="AT183" s="29" t="s">
        <v>255</v>
      </c>
      <c r="AU183" s="10" t="s">
        <v>38</v>
      </c>
      <c r="AV183" s="19" t="s">
        <v>99</v>
      </c>
      <c r="AW183" s="10" t="s">
        <v>140</v>
      </c>
      <c r="AX183" s="10">
        <v>2017</v>
      </c>
      <c r="AY183" s="10">
        <v>0.5</v>
      </c>
      <c r="AZ183" s="10"/>
      <c r="BA183" s="20">
        <v>0.74768052424682108</v>
      </c>
      <c r="BB183" s="20">
        <v>0.37384026212341054</v>
      </c>
      <c r="BC183" s="20">
        <f>BA183*60*AR183/AY183</f>
        <v>17.948604563871324</v>
      </c>
      <c r="BD183" s="20">
        <f>BB183*60*AQ183/AY183</f>
        <v>17.948604563871324</v>
      </c>
    </row>
    <row r="184" spans="1:56" s="18" customFormat="1">
      <c r="A184" s="10">
        <v>183</v>
      </c>
      <c r="B184" s="13"/>
      <c r="C184" s="10" t="s">
        <v>12</v>
      </c>
      <c r="D184" s="10"/>
      <c r="E184" s="27">
        <v>1</v>
      </c>
      <c r="F184" s="10"/>
      <c r="G184" s="10"/>
      <c r="H184" s="27"/>
      <c r="I184" s="10" t="s">
        <v>37</v>
      </c>
      <c r="J184" s="10"/>
      <c r="K184" s="10">
        <v>0.05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50">
        <v>235</v>
      </c>
      <c r="Z184" s="50">
        <v>244</v>
      </c>
      <c r="AA184" s="10" t="s">
        <v>17</v>
      </c>
      <c r="AB184" s="10">
        <v>1</v>
      </c>
      <c r="AC184" s="20">
        <v>0</v>
      </c>
      <c r="AD184" s="10" t="s">
        <v>44</v>
      </c>
      <c r="AE184" s="10" t="s">
        <v>211</v>
      </c>
      <c r="AF184" s="10" t="s">
        <v>208</v>
      </c>
      <c r="AG184" s="10">
        <v>0.5</v>
      </c>
      <c r="AH184" s="10">
        <v>1</v>
      </c>
      <c r="AI184" s="27">
        <f t="shared" si="28"/>
        <v>7.1999999999999993</v>
      </c>
      <c r="AJ184" s="27">
        <f t="shared" si="29"/>
        <v>110</v>
      </c>
      <c r="AK184" s="10">
        <v>1</v>
      </c>
      <c r="AL184" s="10">
        <v>683</v>
      </c>
      <c r="AM184" s="19">
        <v>0.41599999999999998</v>
      </c>
      <c r="AN184" s="19">
        <v>0.95499999999999996</v>
      </c>
      <c r="AO184" s="19"/>
      <c r="AP184" s="19"/>
      <c r="AQ184" s="19">
        <f>Table1[[#This Row],[X_Ac]]*Table1[[#This Row],[S_Acryl_Ac]]</f>
        <v>0.39727999999999997</v>
      </c>
      <c r="AR184" s="19">
        <f>Table1[[#This Row],[Y_Acryl_Ac]]*Table1[[#This Row],[Ratio_Ac_Fa]]</f>
        <v>0.19863999999999998</v>
      </c>
      <c r="AS184" s="28">
        <f t="shared" si="27"/>
        <v>17.822311120366624</v>
      </c>
      <c r="AT184" s="29"/>
      <c r="AU184" s="10" t="s">
        <v>38</v>
      </c>
      <c r="AV184" s="19" t="s">
        <v>99</v>
      </c>
      <c r="AW184" s="10" t="s">
        <v>140</v>
      </c>
      <c r="AX184" s="10">
        <v>2017</v>
      </c>
      <c r="AY184" s="10">
        <v>0.5</v>
      </c>
      <c r="AZ184" s="10"/>
      <c r="BA184" s="20">
        <v>0.74768052424682108</v>
      </c>
      <c r="BB184" s="20">
        <v>0.37384026212341054</v>
      </c>
      <c r="BC184" s="20">
        <f>BA184*60*AR184/AY184</f>
        <v>17.822311120366624</v>
      </c>
      <c r="BD184" s="20">
        <f>BB184*60*AQ184/AY184</f>
        <v>17.822311120366624</v>
      </c>
    </row>
    <row r="185" spans="1:56" s="18" customFormat="1">
      <c r="A185" s="10">
        <v>184</v>
      </c>
      <c r="B185" s="13">
        <v>1</v>
      </c>
      <c r="C185" s="10" t="s">
        <v>12</v>
      </c>
      <c r="D185" s="10"/>
      <c r="E185" s="27">
        <v>1</v>
      </c>
      <c r="F185" s="10"/>
      <c r="G185" s="10"/>
      <c r="H185" s="27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50">
        <v>307.7</v>
      </c>
      <c r="Z185" s="10"/>
      <c r="AA185" s="10" t="s">
        <v>17</v>
      </c>
      <c r="AB185" s="10">
        <v>1</v>
      </c>
      <c r="AC185" s="20">
        <v>0</v>
      </c>
      <c r="AD185" s="10" t="s">
        <v>44</v>
      </c>
      <c r="AE185" s="10" t="s">
        <v>211</v>
      </c>
      <c r="AF185" s="10" t="s">
        <v>208</v>
      </c>
      <c r="AG185" s="10">
        <v>0.5</v>
      </c>
      <c r="AH185" s="10">
        <v>1</v>
      </c>
      <c r="AI185" s="27">
        <f t="shared" si="28"/>
        <v>7.1999999999999993</v>
      </c>
      <c r="AJ185" s="27"/>
      <c r="AK185" s="10">
        <v>1</v>
      </c>
      <c r="AL185" s="10">
        <v>663</v>
      </c>
      <c r="AM185" s="19">
        <v>0.34899999999999998</v>
      </c>
      <c r="AN185" s="19">
        <v>0.85199999999999998</v>
      </c>
      <c r="AO185" s="19"/>
      <c r="AP185" s="19"/>
      <c r="AQ185" s="19">
        <f>Table1[[#This Row],[X_Ac]]*Table1[[#This Row],[S_Acryl_Ac]]</f>
        <v>0.29734799999999995</v>
      </c>
      <c r="AR185" s="19">
        <f>Table1[[#This Row],[Y_Acryl_Ac]]*Table1[[#This Row],[Ratio_Ac_Fa]]</f>
        <v>0.14867399999999997</v>
      </c>
      <c r="AS185" s="28">
        <f t="shared" si="27"/>
        <v>13.339278511424624</v>
      </c>
      <c r="AT185" s="29" t="s">
        <v>6</v>
      </c>
      <c r="AU185" s="10" t="s">
        <v>48</v>
      </c>
      <c r="AV185" s="19" t="s">
        <v>99</v>
      </c>
      <c r="AW185" s="10" t="s">
        <v>140</v>
      </c>
      <c r="AX185" s="10">
        <v>2017</v>
      </c>
      <c r="AY185" s="10">
        <v>0.5</v>
      </c>
      <c r="AZ185" s="10"/>
      <c r="BA185" s="20">
        <v>0.74768052424682108</v>
      </c>
      <c r="BB185" s="20">
        <v>0.37384026212341054</v>
      </c>
      <c r="BC185" s="20">
        <f>BA185*60*AR185/AY185</f>
        <v>13.339278511424624</v>
      </c>
      <c r="BD185" s="20">
        <f>BB185*60*AQ185/AY185</f>
        <v>13.339278511424624</v>
      </c>
    </row>
    <row r="186" spans="1:56" s="18" customFormat="1">
      <c r="A186" s="10">
        <v>185</v>
      </c>
      <c r="B186" s="13"/>
      <c r="C186" s="10" t="s">
        <v>12</v>
      </c>
      <c r="D186" s="10"/>
      <c r="E186" s="27">
        <v>1</v>
      </c>
      <c r="F186" s="10"/>
      <c r="G186" s="10"/>
      <c r="H186" s="27"/>
      <c r="I186" s="10" t="s">
        <v>37</v>
      </c>
      <c r="J186" s="10"/>
      <c r="K186" s="10">
        <v>0.05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50">
        <v>272.3</v>
      </c>
      <c r="Z186" s="50">
        <v>307.7</v>
      </c>
      <c r="AA186" s="10" t="s">
        <v>17</v>
      </c>
      <c r="AB186" s="10">
        <v>1</v>
      </c>
      <c r="AC186" s="20">
        <v>0</v>
      </c>
      <c r="AD186" s="10" t="s">
        <v>44</v>
      </c>
      <c r="AE186" s="10" t="s">
        <v>211</v>
      </c>
      <c r="AF186" s="10" t="s">
        <v>208</v>
      </c>
      <c r="AG186" s="10">
        <v>0.5</v>
      </c>
      <c r="AH186" s="10">
        <v>1</v>
      </c>
      <c r="AI186" s="27">
        <f t="shared" si="28"/>
        <v>7.1999999999999993</v>
      </c>
      <c r="AJ186" s="27"/>
      <c r="AK186" s="10">
        <v>1</v>
      </c>
      <c r="AL186" s="10">
        <v>663</v>
      </c>
      <c r="AM186" s="19">
        <v>0.379</v>
      </c>
      <c r="AN186" s="19">
        <v>0.95399999999999996</v>
      </c>
      <c r="AO186" s="19"/>
      <c r="AP186" s="19"/>
      <c r="AQ186" s="19">
        <f>Table1[[#This Row],[X_Ac]]*Table1[[#This Row],[S_Acryl_Ac]]</f>
        <v>0.361566</v>
      </c>
      <c r="AR186" s="19">
        <f>Table1[[#This Row],[Y_Acryl_Ac]]*Table1[[#This Row],[Ratio_Ac_Fa]]</f>
        <v>0.180783</v>
      </c>
      <c r="AS186" s="28">
        <f t="shared" si="27"/>
        <v>16.220151385789567</v>
      </c>
      <c r="AT186" s="29" t="s">
        <v>249</v>
      </c>
      <c r="AU186" s="10" t="s">
        <v>48</v>
      </c>
      <c r="AV186" s="19" t="s">
        <v>99</v>
      </c>
      <c r="AW186" s="10" t="s">
        <v>140</v>
      </c>
      <c r="AX186" s="10">
        <v>2017</v>
      </c>
      <c r="AY186" s="10">
        <v>0.5</v>
      </c>
      <c r="AZ186" s="10"/>
      <c r="BA186" s="20">
        <v>0.74768052424682108</v>
      </c>
      <c r="BB186" s="20">
        <v>0.37384026212341054</v>
      </c>
      <c r="BC186" s="20">
        <f>BA186*60*AR186/AY186</f>
        <v>16.220151385789567</v>
      </c>
      <c r="BD186" s="20">
        <f>BB186*60*AQ186/AY186</f>
        <v>16.220151385789567</v>
      </c>
    </row>
    <row r="187" spans="1:56" s="18" customFormat="1">
      <c r="A187" s="10">
        <v>186</v>
      </c>
      <c r="B187" s="13"/>
      <c r="C187" s="10" t="s">
        <v>12</v>
      </c>
      <c r="D187" s="10"/>
      <c r="E187" s="27">
        <v>1</v>
      </c>
      <c r="F187" s="10"/>
      <c r="G187" s="10"/>
      <c r="H187" s="27"/>
      <c r="I187" s="10" t="s">
        <v>37</v>
      </c>
      <c r="J187" s="10"/>
      <c r="K187" s="10">
        <v>0.05</v>
      </c>
      <c r="L187" s="10"/>
      <c r="M187" s="10" t="s">
        <v>141</v>
      </c>
      <c r="N187" s="10"/>
      <c r="O187" s="10">
        <v>5.0000000000000001E-3</v>
      </c>
      <c r="P187" s="10"/>
      <c r="Q187" s="10"/>
      <c r="R187" s="10"/>
      <c r="S187" s="10"/>
      <c r="T187" s="10"/>
      <c r="U187" s="10"/>
      <c r="V187" s="10"/>
      <c r="W187" s="10"/>
      <c r="X187" s="10"/>
      <c r="Y187" s="50"/>
      <c r="Z187" s="50">
        <v>307.7</v>
      </c>
      <c r="AA187" s="10" t="s">
        <v>17</v>
      </c>
      <c r="AB187" s="10">
        <v>1</v>
      </c>
      <c r="AC187" s="20">
        <v>0</v>
      </c>
      <c r="AD187" s="10" t="s">
        <v>44</v>
      </c>
      <c r="AE187" s="10" t="s">
        <v>211</v>
      </c>
      <c r="AF187" s="10" t="s">
        <v>208</v>
      </c>
      <c r="AG187" s="10">
        <v>0.5</v>
      </c>
      <c r="AH187" s="10">
        <v>1</v>
      </c>
      <c r="AI187" s="27">
        <f t="shared" si="28"/>
        <v>7.1999999999999993</v>
      </c>
      <c r="AJ187" s="27"/>
      <c r="AK187" s="10">
        <v>1</v>
      </c>
      <c r="AL187" s="10">
        <v>663</v>
      </c>
      <c r="AM187" s="19">
        <v>0.27600000000000002</v>
      </c>
      <c r="AN187" s="19">
        <v>0.95799999999999996</v>
      </c>
      <c r="AO187" s="19"/>
      <c r="AP187" s="19"/>
      <c r="AQ187" s="19">
        <f>Table1[[#This Row],[X_Ac]]*Table1[[#This Row],[S_Acryl_Ac]]</f>
        <v>0.26440800000000003</v>
      </c>
      <c r="AR187" s="19">
        <f>Table1[[#This Row],[Y_Acryl_Ac]]*Table1[[#This Row],[Ratio_Ac_Fa]]</f>
        <v>0.13220400000000002</v>
      </c>
      <c r="AS187" s="28">
        <f t="shared" si="27"/>
        <v>11.86156272330321</v>
      </c>
      <c r="AT187" s="29"/>
      <c r="AU187" s="10" t="s">
        <v>48</v>
      </c>
      <c r="AV187" s="19" t="s">
        <v>99</v>
      </c>
      <c r="AW187" s="10" t="s">
        <v>140</v>
      </c>
      <c r="AX187" s="10">
        <v>2017</v>
      </c>
      <c r="AY187" s="10">
        <v>0.5</v>
      </c>
      <c r="AZ187" s="10"/>
      <c r="BA187" s="20">
        <v>0.74768052424682108</v>
      </c>
      <c r="BB187" s="20">
        <v>0.37384026212341054</v>
      </c>
      <c r="BC187" s="20">
        <f>BA187*60*AR187/AY187</f>
        <v>11.86156272330321</v>
      </c>
      <c r="BD187" s="20">
        <f>BB187*60*AQ187/AY187</f>
        <v>11.86156272330321</v>
      </c>
    </row>
    <row r="188" spans="1:56" s="18" customFormat="1">
      <c r="A188" s="10">
        <v>187</v>
      </c>
      <c r="B188" s="13"/>
      <c r="C188" s="10" t="s">
        <v>12</v>
      </c>
      <c r="D188" s="10"/>
      <c r="E188" s="27">
        <v>1</v>
      </c>
      <c r="F188" s="10"/>
      <c r="G188" s="10"/>
      <c r="H188" s="27"/>
      <c r="I188" s="10" t="s">
        <v>37</v>
      </c>
      <c r="J188" s="10"/>
      <c r="K188" s="10">
        <v>0.05</v>
      </c>
      <c r="L188" s="10"/>
      <c r="M188" s="10" t="s">
        <v>0</v>
      </c>
      <c r="N188" s="10"/>
      <c r="O188" s="10">
        <v>5.0000000000000001E-3</v>
      </c>
      <c r="P188" s="10"/>
      <c r="Q188" s="10"/>
      <c r="R188" s="10"/>
      <c r="S188" s="10"/>
      <c r="T188" s="10"/>
      <c r="U188" s="10"/>
      <c r="V188" s="10"/>
      <c r="W188" s="10"/>
      <c r="X188" s="10"/>
      <c r="Y188" s="50"/>
      <c r="Z188" s="50">
        <v>307.7</v>
      </c>
      <c r="AA188" s="10" t="s">
        <v>17</v>
      </c>
      <c r="AB188" s="10">
        <v>1</v>
      </c>
      <c r="AC188" s="20">
        <v>0</v>
      </c>
      <c r="AD188" s="10" t="s">
        <v>44</v>
      </c>
      <c r="AE188" s="10" t="s">
        <v>211</v>
      </c>
      <c r="AF188" s="10" t="s">
        <v>208</v>
      </c>
      <c r="AG188" s="10">
        <v>0.5</v>
      </c>
      <c r="AH188" s="10">
        <v>1</v>
      </c>
      <c r="AI188" s="27">
        <f t="shared" si="28"/>
        <v>7.1999999999999993</v>
      </c>
      <c r="AJ188" s="27"/>
      <c r="AK188" s="10">
        <v>1</v>
      </c>
      <c r="AL188" s="10">
        <v>663</v>
      </c>
      <c r="AM188" s="19">
        <v>0.33600000000000002</v>
      </c>
      <c r="AN188" s="19">
        <v>0.96599999999999997</v>
      </c>
      <c r="AO188" s="19"/>
      <c r="AP188" s="19"/>
      <c r="AQ188" s="19">
        <f>Table1[[#This Row],[X_Ac]]*Table1[[#This Row],[S_Acryl_Ac]]</f>
        <v>0.32457600000000003</v>
      </c>
      <c r="AR188" s="19">
        <f>Table1[[#This Row],[Y_Acryl_Ac]]*Table1[[#This Row],[Ratio_Ac_Fa]]</f>
        <v>0.16228800000000002</v>
      </c>
      <c r="AS188" s="28">
        <f t="shared" si="27"/>
        <v>14.560749230276173</v>
      </c>
      <c r="AT188" s="29"/>
      <c r="AU188" s="10" t="s">
        <v>48</v>
      </c>
      <c r="AV188" s="19" t="s">
        <v>99</v>
      </c>
      <c r="AW188" s="10" t="s">
        <v>140</v>
      </c>
      <c r="AX188" s="10">
        <v>2017</v>
      </c>
      <c r="AY188" s="10">
        <v>0.5</v>
      </c>
      <c r="AZ188" s="10"/>
      <c r="BA188" s="20">
        <v>0.74768052424682108</v>
      </c>
      <c r="BB188" s="20">
        <v>0.37384026212341054</v>
      </c>
      <c r="BC188" s="20">
        <f>BA188*60*AR188/AY188</f>
        <v>14.560749230276173</v>
      </c>
      <c r="BD188" s="20">
        <f>BB188*60*AQ188/AY188</f>
        <v>14.560749230276173</v>
      </c>
    </row>
    <row r="189" spans="1:56" s="18" customFormat="1">
      <c r="A189" s="10">
        <v>188</v>
      </c>
      <c r="B189" s="13"/>
      <c r="C189" s="10" t="s">
        <v>12</v>
      </c>
      <c r="D189" s="10"/>
      <c r="E189" s="27">
        <v>1</v>
      </c>
      <c r="F189" s="10"/>
      <c r="G189" s="10"/>
      <c r="H189" s="27"/>
      <c r="I189" s="10" t="s">
        <v>37</v>
      </c>
      <c r="J189" s="10"/>
      <c r="K189" s="10">
        <v>0.05</v>
      </c>
      <c r="L189" s="10"/>
      <c r="M189" s="10" t="s">
        <v>30</v>
      </c>
      <c r="N189" s="10"/>
      <c r="O189" s="10">
        <v>5.0000000000000001E-3</v>
      </c>
      <c r="P189" s="10"/>
      <c r="Q189" s="10"/>
      <c r="R189" s="10"/>
      <c r="S189" s="10"/>
      <c r="T189" s="10"/>
      <c r="U189" s="10"/>
      <c r="V189" s="10"/>
      <c r="W189" s="10"/>
      <c r="X189" s="10"/>
      <c r="Y189" s="50"/>
      <c r="Z189" s="50">
        <v>307.7</v>
      </c>
      <c r="AA189" s="10" t="s">
        <v>17</v>
      </c>
      <c r="AB189" s="10">
        <v>1</v>
      </c>
      <c r="AC189" s="20">
        <v>0</v>
      </c>
      <c r="AD189" s="10" t="s">
        <v>44</v>
      </c>
      <c r="AE189" s="10" t="s">
        <v>211</v>
      </c>
      <c r="AF189" s="10" t="s">
        <v>208</v>
      </c>
      <c r="AG189" s="10">
        <v>0.5</v>
      </c>
      <c r="AH189" s="10">
        <v>1</v>
      </c>
      <c r="AI189" s="27">
        <f t="shared" si="28"/>
        <v>7.1999999999999993</v>
      </c>
      <c r="AJ189" s="27"/>
      <c r="AK189" s="10">
        <v>1</v>
      </c>
      <c r="AL189" s="10">
        <v>663</v>
      </c>
      <c r="AM189" s="19">
        <v>0.36</v>
      </c>
      <c r="AN189" s="19">
        <v>0.96</v>
      </c>
      <c r="AO189" s="19"/>
      <c r="AP189" s="19"/>
      <c r="AQ189" s="19">
        <f>Table1[[#This Row],[X_Ac]]*Table1[[#This Row],[S_Acryl_Ac]]</f>
        <v>0.34559999999999996</v>
      </c>
      <c r="AR189" s="19">
        <f>Table1[[#This Row],[Y_Acryl_Ac]]*Table1[[#This Row],[Ratio_Ac_Fa]]</f>
        <v>0.17279999999999998</v>
      </c>
      <c r="AS189" s="28">
        <f t="shared" ref="AS189:AS206" si="30">AVERAGE(BC189:BD189)</f>
        <v>15.50390335078208</v>
      </c>
      <c r="AT189" s="29"/>
      <c r="AU189" s="10" t="s">
        <v>48</v>
      </c>
      <c r="AV189" s="19" t="s">
        <v>99</v>
      </c>
      <c r="AW189" s="10" t="s">
        <v>140</v>
      </c>
      <c r="AX189" s="10">
        <v>2017</v>
      </c>
      <c r="AY189" s="10">
        <v>0.5</v>
      </c>
      <c r="AZ189" s="10"/>
      <c r="BA189" s="20">
        <v>0.74768052424682108</v>
      </c>
      <c r="BB189" s="20">
        <v>0.37384026212341054</v>
      </c>
      <c r="BC189" s="20">
        <f>BA189*60*AR189/AY189</f>
        <v>15.50390335078208</v>
      </c>
      <c r="BD189" s="20">
        <f>BB189*60*AQ189/AY189</f>
        <v>15.50390335078208</v>
      </c>
    </row>
    <row r="190" spans="1:56" s="18" customFormat="1" ht="15.6" customHeight="1">
      <c r="A190" s="10">
        <v>189</v>
      </c>
      <c r="B190" s="13"/>
      <c r="C190" s="10" t="s">
        <v>12</v>
      </c>
      <c r="D190" s="10"/>
      <c r="E190" s="27">
        <v>1</v>
      </c>
      <c r="F190" s="10"/>
      <c r="G190" s="10"/>
      <c r="H190" s="27"/>
      <c r="I190" s="10" t="s">
        <v>37</v>
      </c>
      <c r="J190" s="10"/>
      <c r="K190" s="10">
        <v>0.05</v>
      </c>
      <c r="L190" s="10"/>
      <c r="M190" s="10" t="s">
        <v>41</v>
      </c>
      <c r="N190" s="10"/>
      <c r="O190" s="10">
        <v>5.0000000000000001E-3</v>
      </c>
      <c r="P190" s="10"/>
      <c r="Q190" s="10"/>
      <c r="R190" s="10"/>
      <c r="S190" s="10"/>
      <c r="T190" s="10"/>
      <c r="U190" s="10"/>
      <c r="V190" s="10"/>
      <c r="W190" s="10"/>
      <c r="X190" s="10"/>
      <c r="Y190" s="50"/>
      <c r="Z190" s="50">
        <v>307.7</v>
      </c>
      <c r="AA190" s="10" t="s">
        <v>17</v>
      </c>
      <c r="AB190" s="10">
        <v>1</v>
      </c>
      <c r="AC190" s="20">
        <v>0</v>
      </c>
      <c r="AD190" s="10" t="s">
        <v>44</v>
      </c>
      <c r="AE190" s="10" t="s">
        <v>211</v>
      </c>
      <c r="AF190" s="10" t="s">
        <v>208</v>
      </c>
      <c r="AG190" s="10">
        <v>0.5</v>
      </c>
      <c r="AH190" s="10">
        <v>1</v>
      </c>
      <c r="AI190" s="27">
        <f t="shared" si="28"/>
        <v>7.1999999999999993</v>
      </c>
      <c r="AJ190" s="27"/>
      <c r="AK190" s="10">
        <v>1</v>
      </c>
      <c r="AL190" s="10">
        <v>663</v>
      </c>
      <c r="AM190" s="19">
        <v>0.38900000000000001</v>
      </c>
      <c r="AN190" s="19">
        <v>0.95199999999999996</v>
      </c>
      <c r="AO190" s="19"/>
      <c r="AP190" s="19"/>
      <c r="AQ190" s="19">
        <f>Table1[[#This Row],[X_Ac]]*Table1[[#This Row],[S_Acryl_Ac]]</f>
        <v>0.37032799999999999</v>
      </c>
      <c r="AR190" s="19">
        <f>Table1[[#This Row],[Y_Acryl_Ac]]*Table1[[#This Row],[Ratio_Ac_Fa]]</f>
        <v>0.185164</v>
      </c>
      <c r="AS190" s="28">
        <f t="shared" si="30"/>
        <v>16.613221990996607</v>
      </c>
      <c r="AT190" s="29"/>
      <c r="AU190" s="10" t="s">
        <v>48</v>
      </c>
      <c r="AV190" s="19" t="s">
        <v>99</v>
      </c>
      <c r="AW190" s="10" t="s">
        <v>140</v>
      </c>
      <c r="AX190" s="10">
        <v>2017</v>
      </c>
      <c r="AY190" s="10">
        <v>0.5</v>
      </c>
      <c r="AZ190" s="10"/>
      <c r="BA190" s="20">
        <v>0.74768052424682108</v>
      </c>
      <c r="BB190" s="20">
        <v>0.37384026212341054</v>
      </c>
      <c r="BC190" s="20">
        <f>BA190*60*AR190/AY190</f>
        <v>16.613221990996607</v>
      </c>
      <c r="BD190" s="20">
        <f>BB190*60*AQ190/AY190</f>
        <v>16.613221990996607</v>
      </c>
    </row>
    <row r="191" spans="1:56" s="18" customFormat="1">
      <c r="A191" s="10">
        <v>190</v>
      </c>
      <c r="B191" s="13"/>
      <c r="C191" s="10" t="s">
        <v>12</v>
      </c>
      <c r="D191" s="10"/>
      <c r="E191" s="27">
        <v>1</v>
      </c>
      <c r="F191" s="10"/>
      <c r="G191" s="10"/>
      <c r="H191" s="27"/>
      <c r="I191" s="10" t="s">
        <v>37</v>
      </c>
      <c r="J191" s="10"/>
      <c r="K191" s="10">
        <v>0.05</v>
      </c>
      <c r="L191" s="10"/>
      <c r="M191" s="10" t="s">
        <v>110</v>
      </c>
      <c r="N191" s="10"/>
      <c r="O191" s="10">
        <v>5.0000000000000001E-3</v>
      </c>
      <c r="P191" s="10"/>
      <c r="Q191" s="10"/>
      <c r="R191" s="10"/>
      <c r="S191" s="10"/>
      <c r="T191" s="10"/>
      <c r="U191" s="10"/>
      <c r="V191" s="10"/>
      <c r="W191" s="10"/>
      <c r="X191" s="10"/>
      <c r="Y191" s="50">
        <v>292.60000000000002</v>
      </c>
      <c r="Z191" s="50">
        <v>307.7</v>
      </c>
      <c r="AA191" s="10" t="s">
        <v>17</v>
      </c>
      <c r="AB191" s="10">
        <v>1</v>
      </c>
      <c r="AC191" s="20">
        <v>0</v>
      </c>
      <c r="AD191" s="10" t="s">
        <v>44</v>
      </c>
      <c r="AE191" s="10" t="s">
        <v>211</v>
      </c>
      <c r="AF191" s="10" t="s">
        <v>208</v>
      </c>
      <c r="AG191" s="10">
        <v>0.5</v>
      </c>
      <c r="AH191" s="10">
        <v>1</v>
      </c>
      <c r="AI191" s="27">
        <f t="shared" si="28"/>
        <v>7.1999999999999993</v>
      </c>
      <c r="AJ191" s="27"/>
      <c r="AK191" s="10">
        <v>1</v>
      </c>
      <c r="AL191" s="10">
        <v>663</v>
      </c>
      <c r="AM191" s="19">
        <v>0.39500000000000002</v>
      </c>
      <c r="AN191" s="19">
        <v>0.95599999999999996</v>
      </c>
      <c r="AO191" s="19"/>
      <c r="AP191" s="19"/>
      <c r="AQ191" s="19">
        <f>Table1[[#This Row],[X_Ac]]*Table1[[#This Row],[S_Acryl_Ac]]</f>
        <v>0.37762000000000001</v>
      </c>
      <c r="AR191" s="19">
        <f>Table1[[#This Row],[Y_Acryl_Ac]]*Table1[[#This Row],[Ratio_Ac_Fa]]</f>
        <v>0.18881000000000001</v>
      </c>
      <c r="AS191" s="28">
        <f t="shared" si="30"/>
        <v>16.940347173965076</v>
      </c>
      <c r="AT191" s="29" t="s">
        <v>250</v>
      </c>
      <c r="AU191" s="10" t="s">
        <v>48</v>
      </c>
      <c r="AV191" s="19" t="s">
        <v>99</v>
      </c>
      <c r="AW191" s="10" t="s">
        <v>140</v>
      </c>
      <c r="AX191" s="10">
        <v>2017</v>
      </c>
      <c r="AY191" s="10">
        <v>0.5</v>
      </c>
      <c r="AZ191" s="10"/>
      <c r="BA191" s="20">
        <v>0.74768052424682108</v>
      </c>
      <c r="BB191" s="20">
        <v>0.37384026212341054</v>
      </c>
      <c r="BC191" s="20">
        <f>BA191*60*AR191/AY191</f>
        <v>16.940347173965076</v>
      </c>
      <c r="BD191" s="20">
        <f>BB191*60*AQ191/AY191</f>
        <v>16.940347173965076</v>
      </c>
    </row>
    <row r="192" spans="1:56" s="18" customFormat="1">
      <c r="A192" s="10">
        <v>191</v>
      </c>
      <c r="B192" s="13">
        <v>1</v>
      </c>
      <c r="C192" s="10" t="s">
        <v>11</v>
      </c>
      <c r="D192" s="10"/>
      <c r="E192" s="27">
        <v>1</v>
      </c>
      <c r="F192" s="10"/>
      <c r="G192" s="10"/>
      <c r="H192" s="27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50">
        <v>48</v>
      </c>
      <c r="Z192" s="10"/>
      <c r="AA192" s="10"/>
      <c r="AB192" s="10">
        <v>1</v>
      </c>
      <c r="AC192" s="20">
        <v>0</v>
      </c>
      <c r="AD192" s="10" t="s">
        <v>44</v>
      </c>
      <c r="AE192" s="10" t="s">
        <v>211</v>
      </c>
      <c r="AF192" s="10" t="s">
        <v>208</v>
      </c>
      <c r="AG192" s="10">
        <v>0.5</v>
      </c>
      <c r="AH192" s="10">
        <v>1</v>
      </c>
      <c r="AI192" s="27">
        <f t="shared" si="28"/>
        <v>7.1999999999999993</v>
      </c>
      <c r="AJ192" s="27"/>
      <c r="AK192" s="10">
        <v>1</v>
      </c>
      <c r="AL192" s="10">
        <v>663</v>
      </c>
      <c r="AM192" s="19">
        <v>0.16800000000000001</v>
      </c>
      <c r="AN192" s="19">
        <v>0.61899999999999999</v>
      </c>
      <c r="AO192" s="19"/>
      <c r="AP192" s="19"/>
      <c r="AQ192" s="19">
        <f>Table1[[#This Row],[X_Ac]]*Table1[[#This Row],[S_Acryl_Ac]]</f>
        <v>0.103992</v>
      </c>
      <c r="AR192" s="19">
        <f>Table1[[#This Row],[Y_Acryl_Ac]]*Table1[[#This Row],[Ratio_Ac_Fa]]</f>
        <v>5.1996000000000001E-2</v>
      </c>
      <c r="AS192" s="28">
        <f t="shared" si="30"/>
        <v>4.6651675846485254</v>
      </c>
      <c r="AT192" s="29" t="s">
        <v>326</v>
      </c>
      <c r="AU192" s="10" t="s">
        <v>52</v>
      </c>
      <c r="AV192" s="19" t="s">
        <v>142</v>
      </c>
      <c r="AW192" s="10" t="s">
        <v>140</v>
      </c>
      <c r="AX192" s="10">
        <v>2018</v>
      </c>
      <c r="AY192" s="10">
        <v>0.5</v>
      </c>
      <c r="AZ192" s="10"/>
      <c r="BA192" s="20">
        <v>0.74768052424682108</v>
      </c>
      <c r="BB192" s="20">
        <v>0.37384026212341054</v>
      </c>
      <c r="BC192" s="20">
        <f>BA192*60*AR192/AY192</f>
        <v>4.6651675846485254</v>
      </c>
      <c r="BD192" s="20">
        <f>BB192*60*AQ192/AY192</f>
        <v>4.6651675846485254</v>
      </c>
    </row>
    <row r="193" spans="1:56" s="18" customFormat="1">
      <c r="A193" s="10">
        <v>192</v>
      </c>
      <c r="B193" s="13">
        <v>1</v>
      </c>
      <c r="C193" s="10" t="s">
        <v>12</v>
      </c>
      <c r="D193" s="10"/>
      <c r="E193" s="27">
        <v>1</v>
      </c>
      <c r="F193" s="10"/>
      <c r="G193" s="10"/>
      <c r="H193" s="27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50">
        <v>357</v>
      </c>
      <c r="Z193" s="10"/>
      <c r="AA193" s="10" t="s">
        <v>50</v>
      </c>
      <c r="AB193" s="10">
        <v>1</v>
      </c>
      <c r="AC193" s="20">
        <v>0</v>
      </c>
      <c r="AD193" s="10" t="s">
        <v>44</v>
      </c>
      <c r="AE193" s="10" t="s">
        <v>211</v>
      </c>
      <c r="AF193" s="10" t="s">
        <v>208</v>
      </c>
      <c r="AG193" s="10">
        <v>0.5</v>
      </c>
      <c r="AH193" s="10">
        <v>1</v>
      </c>
      <c r="AI193" s="27">
        <f t="shared" si="28"/>
        <v>7.1999999999999993</v>
      </c>
      <c r="AJ193" s="27"/>
      <c r="AK193" s="10">
        <v>1</v>
      </c>
      <c r="AL193" s="10">
        <v>663</v>
      </c>
      <c r="AM193" s="19">
        <v>0.47460000000000002</v>
      </c>
      <c r="AN193" s="19">
        <v>0.61019999999999996</v>
      </c>
      <c r="AO193" s="19"/>
      <c r="AP193" s="19"/>
      <c r="AQ193" s="19">
        <f>Table1[[#This Row],[X_Ac]]*Table1[[#This Row],[S_Acryl_Ac]]</f>
        <v>0.28960091999999998</v>
      </c>
      <c r="AR193" s="19">
        <f>Table1[[#This Row],[Y_Acryl_Ac]]*Table1[[#This Row],[Ratio_Ac_Fa]]</f>
        <v>0.14480045999999999</v>
      </c>
      <c r="AS193" s="28">
        <f t="shared" si="30"/>
        <v>12.991738061277701</v>
      </c>
      <c r="AT193" s="16" t="s">
        <v>327</v>
      </c>
      <c r="AU193" s="10" t="s">
        <v>52</v>
      </c>
      <c r="AV193" s="19" t="s">
        <v>142</v>
      </c>
      <c r="AW193" s="10" t="s">
        <v>140</v>
      </c>
      <c r="AX193" s="10">
        <v>2018</v>
      </c>
      <c r="AY193" s="10">
        <v>0.5</v>
      </c>
      <c r="AZ193" s="10"/>
      <c r="BA193" s="20">
        <v>0.74768052424682108</v>
      </c>
      <c r="BB193" s="20">
        <v>0.37384026212341054</v>
      </c>
      <c r="BC193" s="20">
        <f>BA193*60*AR193/AY193</f>
        <v>12.991738061277701</v>
      </c>
      <c r="BD193" s="20">
        <f>BB193*60*AQ193/AY193</f>
        <v>12.991738061277701</v>
      </c>
    </row>
    <row r="194" spans="1:56" s="18" customFormat="1">
      <c r="A194" s="10">
        <v>193</v>
      </c>
      <c r="B194" s="13">
        <v>1</v>
      </c>
      <c r="C194" s="10" t="s">
        <v>12</v>
      </c>
      <c r="D194" s="10">
        <v>75</v>
      </c>
      <c r="E194" s="27"/>
      <c r="F194" s="10" t="s">
        <v>11</v>
      </c>
      <c r="G194" s="10">
        <v>1</v>
      </c>
      <c r="H194" s="27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50">
        <v>281</v>
      </c>
      <c r="Z194" s="10">
        <v>357</v>
      </c>
      <c r="AA194" s="10" t="s">
        <v>3</v>
      </c>
      <c r="AB194" s="10">
        <v>1</v>
      </c>
      <c r="AC194" s="20">
        <v>0</v>
      </c>
      <c r="AD194" s="10" t="s">
        <v>44</v>
      </c>
      <c r="AE194" s="10" t="s">
        <v>211</v>
      </c>
      <c r="AF194" s="10" t="s">
        <v>208</v>
      </c>
      <c r="AG194" s="10">
        <v>0.5</v>
      </c>
      <c r="AH194" s="10">
        <v>1</v>
      </c>
      <c r="AI194" s="27">
        <f t="shared" si="28"/>
        <v>7.1999999999999993</v>
      </c>
      <c r="AJ194" s="27"/>
      <c r="AK194" s="10">
        <v>1</v>
      </c>
      <c r="AL194" s="10">
        <v>663</v>
      </c>
      <c r="AM194" s="19">
        <v>0.45760000000000001</v>
      </c>
      <c r="AN194" s="19">
        <v>0.58330000000000004</v>
      </c>
      <c r="AO194" s="19"/>
      <c r="AP194" s="19"/>
      <c r="AQ194" s="19">
        <f>Table1[[#This Row],[X_Ac]]*Table1[[#This Row],[S_Acryl_Ac]]</f>
        <v>0.26691808</v>
      </c>
      <c r="AR194" s="19">
        <f>Table1[[#This Row],[Y_Acryl_Ac]]*Table1[[#This Row],[Ratio_Ac_Fa]]</f>
        <v>0.13345904</v>
      </c>
      <c r="AS194" s="28">
        <f t="shared" si="30"/>
        <v>11.974166999121296</v>
      </c>
      <c r="AT194" s="16" t="s">
        <v>337</v>
      </c>
      <c r="AU194" s="10" t="s">
        <v>52</v>
      </c>
      <c r="AV194" s="19" t="s">
        <v>142</v>
      </c>
      <c r="AW194" s="10" t="s">
        <v>140</v>
      </c>
      <c r="AX194" s="10">
        <v>2018</v>
      </c>
      <c r="AY194" s="10">
        <v>0.5</v>
      </c>
      <c r="AZ194" s="10"/>
      <c r="BA194" s="20">
        <v>0.74768052424682108</v>
      </c>
      <c r="BB194" s="20">
        <v>0.37384026212341054</v>
      </c>
      <c r="BC194" s="20">
        <f>BA194*60*AR194/AY194</f>
        <v>11.974166999121296</v>
      </c>
      <c r="BD194" s="20">
        <f>BB194*60*AQ194/AY194</f>
        <v>11.974166999121296</v>
      </c>
    </row>
    <row r="195" spans="1:56" s="18" customFormat="1" ht="15.6" customHeight="1">
      <c r="A195" s="10">
        <v>194</v>
      </c>
      <c r="B195" s="13">
        <v>1</v>
      </c>
      <c r="C195" s="10" t="s">
        <v>12</v>
      </c>
      <c r="D195" s="10">
        <v>75</v>
      </c>
      <c r="E195" s="27"/>
      <c r="F195" s="10" t="s">
        <v>11</v>
      </c>
      <c r="G195" s="10">
        <v>1</v>
      </c>
      <c r="H195" s="27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50">
        <v>320</v>
      </c>
      <c r="Z195" s="10"/>
      <c r="AA195" s="10" t="s">
        <v>50</v>
      </c>
      <c r="AB195" s="10">
        <v>1</v>
      </c>
      <c r="AC195" s="20">
        <v>0</v>
      </c>
      <c r="AD195" s="10" t="s">
        <v>44</v>
      </c>
      <c r="AE195" s="10" t="s">
        <v>211</v>
      </c>
      <c r="AF195" s="10" t="s">
        <v>208</v>
      </c>
      <c r="AG195" s="10">
        <v>0.5</v>
      </c>
      <c r="AH195" s="10">
        <v>1</v>
      </c>
      <c r="AI195" s="27">
        <f t="shared" si="28"/>
        <v>7.1999999999999993</v>
      </c>
      <c r="AJ195" s="27"/>
      <c r="AK195" s="10">
        <v>1</v>
      </c>
      <c r="AL195" s="10">
        <v>663</v>
      </c>
      <c r="AM195" s="19">
        <v>0.51500000000000001</v>
      </c>
      <c r="AN195" s="19">
        <v>0.64500000000000002</v>
      </c>
      <c r="AO195" s="19"/>
      <c r="AP195" s="19"/>
      <c r="AQ195" s="19">
        <f>Table1[[#This Row],[X_Ac]]*Table1[[#This Row],[S_Acryl_Ac]]</f>
        <v>0.332175</v>
      </c>
      <c r="AR195" s="19">
        <f>Table1[[#This Row],[Y_Acryl_Ac]]*Table1[[#This Row],[Ratio_Ac_Fa]]</f>
        <v>0.1660875</v>
      </c>
      <c r="AS195" s="28">
        <f t="shared" si="30"/>
        <v>14.901646688501268</v>
      </c>
      <c r="AT195" s="29" t="s">
        <v>338</v>
      </c>
      <c r="AU195" s="10" t="s">
        <v>52</v>
      </c>
      <c r="AV195" s="19" t="s">
        <v>142</v>
      </c>
      <c r="AW195" s="10" t="s">
        <v>140</v>
      </c>
      <c r="AX195" s="10">
        <v>2018</v>
      </c>
      <c r="AY195" s="10">
        <v>0.5</v>
      </c>
      <c r="AZ195" s="10"/>
      <c r="BA195" s="20">
        <v>0.74768052424682108</v>
      </c>
      <c r="BB195" s="20">
        <v>0.37384026212341054</v>
      </c>
      <c r="BC195" s="20">
        <f>BA195*60*AR195/AY195</f>
        <v>14.901646688501268</v>
      </c>
      <c r="BD195" s="20">
        <f>BB195*60*AQ195/AY195</f>
        <v>14.901646688501268</v>
      </c>
    </row>
    <row r="196" spans="1:56" s="18" customFormat="1" ht="15.6" customHeight="1">
      <c r="A196" s="10">
        <v>195</v>
      </c>
      <c r="B196" s="13"/>
      <c r="C196" s="10" t="s">
        <v>11</v>
      </c>
      <c r="D196" s="10"/>
      <c r="E196" s="27">
        <v>1</v>
      </c>
      <c r="F196" s="10"/>
      <c r="G196" s="10"/>
      <c r="H196" s="27"/>
      <c r="I196" s="10" t="s">
        <v>37</v>
      </c>
      <c r="J196" s="10"/>
      <c r="K196" s="20">
        <f>0.44/255.42*137.33/(5)</f>
        <v>4.7314384151593461E-2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50">
        <v>45</v>
      </c>
      <c r="Z196" s="10">
        <v>48</v>
      </c>
      <c r="AA196" s="10" t="s">
        <v>3</v>
      </c>
      <c r="AB196" s="10">
        <v>1</v>
      </c>
      <c r="AC196" s="20">
        <v>0</v>
      </c>
      <c r="AD196" s="10" t="s">
        <v>44</v>
      </c>
      <c r="AE196" s="10" t="s">
        <v>211</v>
      </c>
      <c r="AF196" s="10" t="s">
        <v>208</v>
      </c>
      <c r="AG196" s="10">
        <v>0.5</v>
      </c>
      <c r="AH196" s="10">
        <v>1</v>
      </c>
      <c r="AI196" s="27">
        <f t="shared" si="28"/>
        <v>7.1999999999999993</v>
      </c>
      <c r="AJ196" s="27"/>
      <c r="AK196" s="10">
        <v>1</v>
      </c>
      <c r="AL196" s="10">
        <v>663</v>
      </c>
      <c r="AM196" s="19">
        <v>0.2271</v>
      </c>
      <c r="AN196" s="19">
        <v>0.90129999999999999</v>
      </c>
      <c r="AO196" s="19"/>
      <c r="AP196" s="19"/>
      <c r="AQ196" s="19">
        <f>Table1[[#This Row],[X_Ac]]*Table1[[#This Row],[S_Acryl_Ac]]</f>
        <v>0.20468523</v>
      </c>
      <c r="AR196" s="19">
        <f>Table1[[#This Row],[Y_Acryl_Ac]]*Table1[[#This Row],[Ratio_Ac_Fa]]</f>
        <v>0.102342615</v>
      </c>
      <c r="AS196" s="28">
        <f t="shared" si="30"/>
        <v>9.182349604318869</v>
      </c>
      <c r="AT196" s="16" t="s">
        <v>245</v>
      </c>
      <c r="AU196" s="10" t="s">
        <v>52</v>
      </c>
      <c r="AV196" s="19" t="s">
        <v>142</v>
      </c>
      <c r="AW196" s="10" t="s">
        <v>140</v>
      </c>
      <c r="AX196" s="10">
        <v>2018</v>
      </c>
      <c r="AY196" s="10">
        <v>0.5</v>
      </c>
      <c r="AZ196" s="10"/>
      <c r="BA196" s="20">
        <v>0.74768052424682108</v>
      </c>
      <c r="BB196" s="20">
        <v>0.37384026212341054</v>
      </c>
      <c r="BC196" s="20">
        <f>BA196*60*AR196/AY196</f>
        <v>9.182349604318869</v>
      </c>
      <c r="BD196" s="20">
        <f>BB196*60*AQ196/AY196</f>
        <v>9.182349604318869</v>
      </c>
    </row>
    <row r="197" spans="1:56" s="18" customFormat="1" ht="15.6" customHeight="1">
      <c r="A197" s="10">
        <v>196</v>
      </c>
      <c r="B197" s="13"/>
      <c r="C197" s="10" t="s">
        <v>12</v>
      </c>
      <c r="D197" s="10"/>
      <c r="E197" s="27">
        <v>1</v>
      </c>
      <c r="F197" s="10"/>
      <c r="G197" s="10"/>
      <c r="H197" s="27"/>
      <c r="I197" s="10" t="s">
        <v>37</v>
      </c>
      <c r="J197" s="10"/>
      <c r="K197" s="20">
        <f>0.44/255.42*137.33/(5)</f>
        <v>4.7314384151593461E-2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50">
        <v>319</v>
      </c>
      <c r="Z197" s="10">
        <v>357</v>
      </c>
      <c r="AA197" s="10" t="s">
        <v>3</v>
      </c>
      <c r="AB197" s="10">
        <v>1</v>
      </c>
      <c r="AC197" s="20">
        <v>0</v>
      </c>
      <c r="AD197" s="10" t="s">
        <v>44</v>
      </c>
      <c r="AE197" s="10" t="s">
        <v>211</v>
      </c>
      <c r="AF197" s="10" t="s">
        <v>208</v>
      </c>
      <c r="AG197" s="10">
        <v>0.5</v>
      </c>
      <c r="AH197" s="10">
        <v>1</v>
      </c>
      <c r="AI197" s="27">
        <f t="shared" si="28"/>
        <v>7.1999999999999993</v>
      </c>
      <c r="AJ197" s="27"/>
      <c r="AK197" s="10">
        <v>1</v>
      </c>
      <c r="AL197" s="10">
        <v>663</v>
      </c>
      <c r="AM197" s="19">
        <v>0.4133</v>
      </c>
      <c r="AN197" s="19">
        <v>0.89419999999999999</v>
      </c>
      <c r="AO197" s="19"/>
      <c r="AP197" s="19"/>
      <c r="AQ197" s="19">
        <f>Table1[[#This Row],[X_Ac]]*Table1[[#This Row],[S_Acryl_Ac]]</f>
        <v>0.36957286</v>
      </c>
      <c r="AR197" s="19">
        <f>Table1[[#This Row],[Y_Acryl_Ac]]*Table1[[#This Row],[Ratio_Ac_Fa]]</f>
        <v>0.18478643</v>
      </c>
      <c r="AS197" s="28">
        <f t="shared" si="30"/>
        <v>16.579345782731821</v>
      </c>
      <c r="AT197" s="16" t="s">
        <v>246</v>
      </c>
      <c r="AU197" s="10" t="s">
        <v>52</v>
      </c>
      <c r="AV197" s="19" t="s">
        <v>142</v>
      </c>
      <c r="AW197" s="10" t="s">
        <v>140</v>
      </c>
      <c r="AX197" s="10">
        <v>2018</v>
      </c>
      <c r="AY197" s="10">
        <v>0.5</v>
      </c>
      <c r="AZ197" s="10"/>
      <c r="BA197" s="20">
        <v>0.74768052424682108</v>
      </c>
      <c r="BB197" s="20">
        <v>0.37384026212341054</v>
      </c>
      <c r="BC197" s="20">
        <f>BA197*60*AR197/AY197</f>
        <v>16.579345782731821</v>
      </c>
      <c r="BD197" s="20">
        <f>BB197*60*AQ197/AY197</f>
        <v>16.579345782731821</v>
      </c>
    </row>
    <row r="198" spans="1:56" s="18" customFormat="1" ht="15.6" customHeight="1">
      <c r="A198" s="10">
        <v>197</v>
      </c>
      <c r="B198" s="13"/>
      <c r="C198" s="10" t="s">
        <v>12</v>
      </c>
      <c r="D198" s="10">
        <v>75</v>
      </c>
      <c r="E198" s="27"/>
      <c r="F198" s="10" t="s">
        <v>11</v>
      </c>
      <c r="G198" s="10">
        <v>1</v>
      </c>
      <c r="H198" s="27"/>
      <c r="I198" s="10" t="s">
        <v>37</v>
      </c>
      <c r="J198" s="10"/>
      <c r="K198" s="20">
        <f>0.44/255.42*137.33/(5)</f>
        <v>4.7314384151593461E-2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50">
        <v>247</v>
      </c>
      <c r="Z198" s="10">
        <v>357</v>
      </c>
      <c r="AA198" s="10" t="s">
        <v>3</v>
      </c>
      <c r="AB198" s="10">
        <v>1</v>
      </c>
      <c r="AC198" s="20">
        <v>0</v>
      </c>
      <c r="AD198" s="10" t="s">
        <v>44</v>
      </c>
      <c r="AE198" s="10" t="s">
        <v>211</v>
      </c>
      <c r="AF198" s="10" t="s">
        <v>208</v>
      </c>
      <c r="AG198" s="10">
        <v>0.5</v>
      </c>
      <c r="AH198" s="10">
        <v>1</v>
      </c>
      <c r="AI198" s="27">
        <f t="shared" si="28"/>
        <v>7.1999999999999993</v>
      </c>
      <c r="AJ198" s="27"/>
      <c r="AK198" s="10">
        <v>1</v>
      </c>
      <c r="AL198" s="10">
        <v>663</v>
      </c>
      <c r="AM198" s="19">
        <v>0.42309999999999998</v>
      </c>
      <c r="AN198" s="19">
        <v>0.90129999999999999</v>
      </c>
      <c r="AO198" s="19"/>
      <c r="AP198" s="19"/>
      <c r="AQ198" s="19">
        <f>Table1[[#This Row],[X_Ac]]*Table1[[#This Row],[S_Acryl_Ac]]</f>
        <v>0.38134003</v>
      </c>
      <c r="AR198" s="19">
        <f>Table1[[#This Row],[Y_Acryl_Ac]]*Table1[[#This Row],[Ratio_Ac_Fa]]</f>
        <v>0.190670015</v>
      </c>
      <c r="AS198" s="28">
        <f t="shared" si="30"/>
        <v>17.107230812801909</v>
      </c>
      <c r="AT198" s="16" t="s">
        <v>247</v>
      </c>
      <c r="AU198" s="10" t="s">
        <v>52</v>
      </c>
      <c r="AV198" s="19" t="s">
        <v>142</v>
      </c>
      <c r="AW198" s="10" t="s">
        <v>140</v>
      </c>
      <c r="AX198" s="10">
        <v>2018</v>
      </c>
      <c r="AY198" s="10">
        <v>0.5</v>
      </c>
      <c r="AZ198" s="10"/>
      <c r="BA198" s="20">
        <v>0.74768052424682108</v>
      </c>
      <c r="BB198" s="20">
        <v>0.37384026212341054</v>
      </c>
      <c r="BC198" s="20">
        <f>BA198*60*AR198/AY198</f>
        <v>17.107230812801909</v>
      </c>
      <c r="BD198" s="20">
        <f>BB198*60*AQ198/AY198</f>
        <v>17.107230812801909</v>
      </c>
    </row>
    <row r="199" spans="1:56" s="18" customFormat="1" ht="15.6" customHeight="1">
      <c r="A199" s="10">
        <v>198</v>
      </c>
      <c r="B199" s="13"/>
      <c r="C199" s="10" t="s">
        <v>12</v>
      </c>
      <c r="D199" s="10">
        <v>75</v>
      </c>
      <c r="E199" s="27"/>
      <c r="F199" s="10" t="s">
        <v>11</v>
      </c>
      <c r="G199" s="10">
        <v>1</v>
      </c>
      <c r="H199" s="27"/>
      <c r="I199" s="10" t="s">
        <v>37</v>
      </c>
      <c r="J199" s="10"/>
      <c r="K199" s="20">
        <f>0.44/255.42*137.33/(5)</f>
        <v>4.7314384151593461E-2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50">
        <v>310</v>
      </c>
      <c r="Z199" s="10">
        <v>320</v>
      </c>
      <c r="AA199" s="10" t="s">
        <v>144</v>
      </c>
      <c r="AB199" s="10">
        <v>1</v>
      </c>
      <c r="AC199" s="20">
        <v>0</v>
      </c>
      <c r="AD199" s="10" t="s">
        <v>44</v>
      </c>
      <c r="AE199" s="10" t="s">
        <v>211</v>
      </c>
      <c r="AF199" s="10" t="s">
        <v>208</v>
      </c>
      <c r="AG199" s="10">
        <v>0.5</v>
      </c>
      <c r="AH199" s="10">
        <v>1</v>
      </c>
      <c r="AI199" s="27">
        <f t="shared" si="28"/>
        <v>7.1999999999999993</v>
      </c>
      <c r="AJ199" s="27"/>
      <c r="AK199" s="10">
        <v>1</v>
      </c>
      <c r="AL199" s="10">
        <v>663</v>
      </c>
      <c r="AM199" s="19">
        <v>0.5</v>
      </c>
      <c r="AN199" s="19">
        <v>0.90200000000000002</v>
      </c>
      <c r="AO199" s="19"/>
      <c r="AP199" s="19"/>
      <c r="AQ199" s="19">
        <f>Table1[[#This Row],[X_Ac]]*Table1[[#This Row],[S_Acryl_Ac]]</f>
        <v>0.45100000000000001</v>
      </c>
      <c r="AR199" s="19">
        <f>Table1[[#This Row],[Y_Acryl_Ac]]*Table1[[#This Row],[Ratio_Ac_Fa]]</f>
        <v>0.22550000000000001</v>
      </c>
      <c r="AS199" s="28">
        <f t="shared" si="30"/>
        <v>20.232234986118979</v>
      </c>
      <c r="AT199" s="29" t="s">
        <v>248</v>
      </c>
      <c r="AU199" s="10" t="s">
        <v>52</v>
      </c>
      <c r="AV199" s="19" t="s">
        <v>142</v>
      </c>
      <c r="AW199" s="10" t="s">
        <v>140</v>
      </c>
      <c r="AX199" s="10">
        <v>2018</v>
      </c>
      <c r="AY199" s="10">
        <v>0.5</v>
      </c>
      <c r="AZ199" s="10"/>
      <c r="BA199" s="20">
        <v>0.74768052424682108</v>
      </c>
      <c r="BB199" s="20">
        <v>0.37384026212341054</v>
      </c>
      <c r="BC199" s="20">
        <f>BA199*60*AR199/AY199</f>
        <v>20.232234986118979</v>
      </c>
      <c r="BD199" s="20">
        <f>BB199*60*AQ199/AY199</f>
        <v>20.232234986118979</v>
      </c>
    </row>
    <row r="200" spans="1:56" s="18" customFormat="1">
      <c r="A200" s="10">
        <v>199</v>
      </c>
      <c r="B200" s="13">
        <v>1</v>
      </c>
      <c r="C200" s="10" t="s">
        <v>10</v>
      </c>
      <c r="D200" s="10"/>
      <c r="E200" s="27">
        <v>1</v>
      </c>
      <c r="F200" s="10"/>
      <c r="G200" s="10"/>
      <c r="H200" s="27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50">
        <v>857</v>
      </c>
      <c r="Z200" s="50"/>
      <c r="AA200" s="10" t="s">
        <v>145</v>
      </c>
      <c r="AB200" s="10">
        <v>1</v>
      </c>
      <c r="AC200" s="20">
        <v>0</v>
      </c>
      <c r="AD200" s="10" t="s">
        <v>44</v>
      </c>
      <c r="AE200" s="10" t="s">
        <v>211</v>
      </c>
      <c r="AF200" s="10" t="s">
        <v>208</v>
      </c>
      <c r="AG200" s="10">
        <v>3</v>
      </c>
      <c r="AH200" s="10">
        <v>3</v>
      </c>
      <c r="AI200" s="27">
        <f t="shared" si="28"/>
        <v>7.1999999999999993</v>
      </c>
      <c r="AJ200" s="27">
        <f>60/0.5</f>
        <v>120</v>
      </c>
      <c r="AK200" s="10">
        <v>1</v>
      </c>
      <c r="AL200" s="10">
        <v>663</v>
      </c>
      <c r="AM200" s="19">
        <v>0</v>
      </c>
      <c r="AN200" s="19">
        <v>0</v>
      </c>
      <c r="AO200" s="19"/>
      <c r="AP200" s="19"/>
      <c r="AQ200" s="19">
        <f>Table1[[#This Row],[X_Ac]]*Table1[[#This Row],[S_Acryl_Ac]]</f>
        <v>0</v>
      </c>
      <c r="AR200" s="19">
        <f>Table1[[#This Row],[Y_Acryl_Ac]]*Table1[[#This Row],[Ratio_Ac_Fa]]</f>
        <v>0</v>
      </c>
      <c r="AS200" s="28">
        <f t="shared" si="30"/>
        <v>0</v>
      </c>
      <c r="AT200" s="16" t="s">
        <v>242</v>
      </c>
      <c r="AU200" s="10" t="s">
        <v>143</v>
      </c>
      <c r="AV200" s="19" t="s">
        <v>142</v>
      </c>
      <c r="AW200" s="10" t="s">
        <v>140</v>
      </c>
      <c r="AX200" s="10">
        <v>2018</v>
      </c>
      <c r="AY200" s="10">
        <v>0.5</v>
      </c>
      <c r="AZ200" s="10"/>
      <c r="BA200" s="20">
        <v>0.16667962942195758</v>
      </c>
      <c r="BB200" s="20">
        <v>0.50003888826587273</v>
      </c>
      <c r="BC200" s="20">
        <f>BA200*60*AR200/AY200</f>
        <v>0</v>
      </c>
      <c r="BD200" s="20">
        <f>BB200*60*AQ200/AY200</f>
        <v>0</v>
      </c>
    </row>
    <row r="201" spans="1:56" s="18" customFormat="1">
      <c r="A201" s="10">
        <v>200</v>
      </c>
      <c r="B201" s="13">
        <v>1</v>
      </c>
      <c r="C201" s="10" t="s">
        <v>10</v>
      </c>
      <c r="D201" s="10">
        <v>10</v>
      </c>
      <c r="E201" s="27"/>
      <c r="F201" s="10" t="s">
        <v>30</v>
      </c>
      <c r="G201" s="10">
        <v>1</v>
      </c>
      <c r="H201" s="27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50">
        <v>869</v>
      </c>
      <c r="Z201" s="50"/>
      <c r="AA201" s="10" t="s">
        <v>146</v>
      </c>
      <c r="AB201" s="10">
        <v>1</v>
      </c>
      <c r="AC201" s="20">
        <v>0</v>
      </c>
      <c r="AD201" s="10" t="s">
        <v>44</v>
      </c>
      <c r="AE201" s="10" t="s">
        <v>211</v>
      </c>
      <c r="AF201" s="10" t="s">
        <v>208</v>
      </c>
      <c r="AG201" s="10">
        <v>3</v>
      </c>
      <c r="AH201" s="10">
        <v>3</v>
      </c>
      <c r="AI201" s="27">
        <f t="shared" si="28"/>
        <v>7.1999999999999993</v>
      </c>
      <c r="AJ201" s="27">
        <f>60/0.5</f>
        <v>120</v>
      </c>
      <c r="AK201" s="10">
        <v>1</v>
      </c>
      <c r="AL201" s="10">
        <v>663</v>
      </c>
      <c r="AM201" s="19">
        <v>6.7699999999999996E-2</v>
      </c>
      <c r="AN201" s="19">
        <v>0.78700000000000003</v>
      </c>
      <c r="AO201" s="19"/>
      <c r="AP201" s="19"/>
      <c r="AQ201" s="19">
        <f>Table1[[#This Row],[X_Ac]]*Table1[[#This Row],[S_Acryl_Ac]]</f>
        <v>5.3279899999999998E-2</v>
      </c>
      <c r="AR201" s="19">
        <f>Table1[[#This Row],[Y_Acryl_Ac]]*Table1[[#This Row],[Ratio_Ac_Fa]]</f>
        <v>0.1598397</v>
      </c>
      <c r="AS201" s="28">
        <f t="shared" si="30"/>
        <v>3.1970426355500248</v>
      </c>
      <c r="AT201" s="16" t="s">
        <v>241</v>
      </c>
      <c r="AU201" s="10" t="s">
        <v>143</v>
      </c>
      <c r="AV201" s="19" t="s">
        <v>142</v>
      </c>
      <c r="AW201" s="10" t="s">
        <v>140</v>
      </c>
      <c r="AX201" s="10">
        <v>2018</v>
      </c>
      <c r="AY201" s="10">
        <v>0.5</v>
      </c>
      <c r="AZ201" s="10"/>
      <c r="BA201" s="20">
        <v>0.16667962942195758</v>
      </c>
      <c r="BB201" s="20">
        <v>0.50003888826587273</v>
      </c>
      <c r="BC201" s="20">
        <f>BA201*60*AR201/AY201</f>
        <v>3.1970426355500248</v>
      </c>
      <c r="BD201" s="20">
        <f>BB201*60*AQ201/AY201</f>
        <v>3.1970426355500248</v>
      </c>
    </row>
    <row r="202" spans="1:56" s="18" customFormat="1">
      <c r="A202" s="10">
        <v>201</v>
      </c>
      <c r="B202" s="13"/>
      <c r="C202" s="10" t="s">
        <v>10</v>
      </c>
      <c r="D202" s="10"/>
      <c r="E202" s="27">
        <v>1</v>
      </c>
      <c r="F202" s="10"/>
      <c r="G202" s="10"/>
      <c r="H202" s="27"/>
      <c r="I202" s="10" t="s">
        <v>0</v>
      </c>
      <c r="J202" s="10"/>
      <c r="K202" s="10">
        <v>0.1</v>
      </c>
      <c r="L202" s="10"/>
      <c r="M202" s="10" t="s">
        <v>30</v>
      </c>
      <c r="N202" s="10"/>
      <c r="O202" s="27">
        <f>1*140.12/(10*60.082)</f>
        <v>0.23321460670417096</v>
      </c>
      <c r="P202" s="10"/>
      <c r="Q202" s="10"/>
      <c r="R202" s="10"/>
      <c r="S202" s="10"/>
      <c r="T202" s="10"/>
      <c r="U202" s="10"/>
      <c r="V202" s="10"/>
      <c r="W202" s="10"/>
      <c r="X202" s="10"/>
      <c r="Y202" s="50">
        <v>285</v>
      </c>
      <c r="Z202" s="50">
        <v>869</v>
      </c>
      <c r="AA202" s="10" t="s">
        <v>146</v>
      </c>
      <c r="AB202" s="10">
        <v>1</v>
      </c>
      <c r="AC202" s="20">
        <v>0</v>
      </c>
      <c r="AD202" s="10" t="s">
        <v>44</v>
      </c>
      <c r="AE202" s="10" t="s">
        <v>211</v>
      </c>
      <c r="AF202" s="10" t="s">
        <v>208</v>
      </c>
      <c r="AG202" s="10">
        <v>3</v>
      </c>
      <c r="AH202" s="10">
        <v>3</v>
      </c>
      <c r="AI202" s="27">
        <f t="shared" si="28"/>
        <v>7.1999999999999993</v>
      </c>
      <c r="AJ202" s="27">
        <f>60/0.5</f>
        <v>120</v>
      </c>
      <c r="AK202" s="10">
        <v>1</v>
      </c>
      <c r="AL202" s="10">
        <v>663</v>
      </c>
      <c r="AM202" s="19">
        <v>0.19320000000000001</v>
      </c>
      <c r="AN202" s="19">
        <v>0.89700000000000002</v>
      </c>
      <c r="AO202" s="19"/>
      <c r="AP202" s="19"/>
      <c r="AQ202" s="19">
        <f>Table1[[#This Row],[X_Ac]]*Table1[[#This Row],[S_Acryl_Ac]]</f>
        <v>0.17330040000000002</v>
      </c>
      <c r="AR202" s="19">
        <f>Table1[[#This Row],[Y_Acryl_Ac]]*Table1[[#This Row],[Ratio_Ac_Fa]]</f>
        <v>0.51990120000000006</v>
      </c>
      <c r="AS202" s="28">
        <f t="shared" si="30"/>
        <v>10.398832722243728</v>
      </c>
      <c r="AT202" s="16" t="s">
        <v>244</v>
      </c>
      <c r="AU202" s="10" t="s">
        <v>143</v>
      </c>
      <c r="AV202" s="19" t="s">
        <v>142</v>
      </c>
      <c r="AW202" s="10" t="s">
        <v>140</v>
      </c>
      <c r="AX202" s="10">
        <v>2018</v>
      </c>
      <c r="AY202" s="10">
        <v>0.5</v>
      </c>
      <c r="AZ202" s="10"/>
      <c r="BA202" s="20">
        <v>0.16667962942195758</v>
      </c>
      <c r="BB202" s="20">
        <v>0.50003888826587273</v>
      </c>
      <c r="BC202" s="20">
        <f>BA202*60*AR202/AY202</f>
        <v>10.398832722243728</v>
      </c>
      <c r="BD202" s="20">
        <f>BB202*60*AQ202/AY202</f>
        <v>10.398832722243728</v>
      </c>
    </row>
    <row r="203" spans="1:56" s="18" customFormat="1">
      <c r="A203" s="10">
        <v>202</v>
      </c>
      <c r="B203" s="13"/>
      <c r="C203" s="10" t="s">
        <v>10</v>
      </c>
      <c r="D203" s="10">
        <v>10</v>
      </c>
      <c r="E203" s="27"/>
      <c r="F203" s="10" t="s">
        <v>30</v>
      </c>
      <c r="G203" s="10">
        <v>1</v>
      </c>
      <c r="H203" s="27"/>
      <c r="I203" s="10" t="s">
        <v>0</v>
      </c>
      <c r="J203" s="10"/>
      <c r="K203" s="10">
        <v>0.1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50">
        <v>372</v>
      </c>
      <c r="Z203" s="50">
        <v>857</v>
      </c>
      <c r="AA203" s="10" t="s">
        <v>146</v>
      </c>
      <c r="AB203" s="10">
        <v>1</v>
      </c>
      <c r="AC203" s="20">
        <v>0</v>
      </c>
      <c r="AD203" s="10" t="s">
        <v>44</v>
      </c>
      <c r="AE203" s="10" t="s">
        <v>211</v>
      </c>
      <c r="AF203" s="10" t="s">
        <v>208</v>
      </c>
      <c r="AG203" s="10">
        <v>3</v>
      </c>
      <c r="AH203" s="10">
        <v>3</v>
      </c>
      <c r="AI203" s="27">
        <f t="shared" si="28"/>
        <v>7.1999999999999993</v>
      </c>
      <c r="AJ203" s="27">
        <f>60/0.5</f>
        <v>120</v>
      </c>
      <c r="AK203" s="10">
        <v>1</v>
      </c>
      <c r="AL203" s="10">
        <v>663</v>
      </c>
      <c r="AM203" s="19">
        <v>0.25</v>
      </c>
      <c r="AN203" s="19">
        <v>0.89700000000000002</v>
      </c>
      <c r="AO203" s="19"/>
      <c r="AP203" s="19"/>
      <c r="AQ203" s="19">
        <f>Table1[[#This Row],[X_Ac]]*Table1[[#This Row],[S_Acryl_Ac]]</f>
        <v>0.22425</v>
      </c>
      <c r="AR203" s="19">
        <f>Table1[[#This Row],[Y_Acryl_Ac]]*Table1[[#This Row],[Ratio_Ac_Fa]]</f>
        <v>0.67274999999999996</v>
      </c>
      <c r="AS203" s="28">
        <f t="shared" si="30"/>
        <v>13.456046483234635</v>
      </c>
      <c r="AT203" s="16" t="s">
        <v>243</v>
      </c>
      <c r="AU203" s="10" t="s">
        <v>143</v>
      </c>
      <c r="AV203" s="19" t="s">
        <v>142</v>
      </c>
      <c r="AW203" s="10" t="s">
        <v>140</v>
      </c>
      <c r="AX203" s="10">
        <v>2018</v>
      </c>
      <c r="AY203" s="10">
        <v>0.5</v>
      </c>
      <c r="AZ203" s="10"/>
      <c r="BA203" s="20">
        <v>0.16667962942195758</v>
      </c>
      <c r="BB203" s="20">
        <v>0.50003888826587273</v>
      </c>
      <c r="BC203" s="20">
        <f>BA203*60*AR203/AY203</f>
        <v>13.456046483234635</v>
      </c>
      <c r="BD203" s="20">
        <f>BB203*60*AQ203/AY203</f>
        <v>13.456046483234635</v>
      </c>
    </row>
    <row r="204" spans="1:56" s="18" customFormat="1" ht="15.6" customHeight="1">
      <c r="A204" s="10">
        <v>203</v>
      </c>
      <c r="B204" s="13"/>
      <c r="C204" s="10" t="s">
        <v>12</v>
      </c>
      <c r="D204" s="10"/>
      <c r="E204" s="27">
        <v>1</v>
      </c>
      <c r="F204" s="10"/>
      <c r="G204" s="10"/>
      <c r="H204" s="27"/>
      <c r="I204" s="10" t="s">
        <v>0</v>
      </c>
      <c r="J204" s="10"/>
      <c r="K204" s="10"/>
      <c r="L204" s="10">
        <v>0.1</v>
      </c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50">
        <v>178</v>
      </c>
      <c r="Z204" s="10">
        <v>250</v>
      </c>
      <c r="AA204" s="10" t="s">
        <v>17</v>
      </c>
      <c r="AB204" s="10" t="s">
        <v>311</v>
      </c>
      <c r="AC204" s="20">
        <v>0</v>
      </c>
      <c r="AD204" s="10" t="s">
        <v>44</v>
      </c>
      <c r="AE204" s="10" t="s">
        <v>211</v>
      </c>
      <c r="AF204" s="10" t="s">
        <v>208</v>
      </c>
      <c r="AG204" s="10">
        <v>5</v>
      </c>
      <c r="AH204" s="10">
        <v>0.75</v>
      </c>
      <c r="AI204" s="27">
        <f>1*10/5</f>
        <v>2</v>
      </c>
      <c r="AJ204" s="27"/>
      <c r="AK204" s="10">
        <v>1</v>
      </c>
      <c r="AL204" s="10">
        <v>623</v>
      </c>
      <c r="AM204" s="19"/>
      <c r="AN204" s="19"/>
      <c r="AO204" s="19">
        <v>0.37609999999999999</v>
      </c>
      <c r="AP204" s="19">
        <f>Table1[[#This Row],[Y_Acryl_Fa]]/Table1[[#This Row],[X_Fa]]</f>
        <v>0.82850305769742094</v>
      </c>
      <c r="AQ204" s="19">
        <f>Table1[[#This Row],[Y_Acryl_Fa]]/Table1[[#This Row],[Ratio_Ac_Fa]]</f>
        <v>6.232E-2</v>
      </c>
      <c r="AR204" s="19">
        <v>0.31159999999999999</v>
      </c>
      <c r="AS204" s="28">
        <f t="shared" si="30"/>
        <v>1.4567413294770195</v>
      </c>
      <c r="AT204" s="29"/>
      <c r="AU204" s="10" t="s">
        <v>74</v>
      </c>
      <c r="AV204" s="19" t="s">
        <v>256</v>
      </c>
      <c r="AW204" s="10" t="s">
        <v>111</v>
      </c>
      <c r="AX204" s="10">
        <v>2016</v>
      </c>
      <c r="AY204" s="10">
        <v>5</v>
      </c>
      <c r="AZ204" s="20">
        <v>0.29218977244003119</v>
      </c>
      <c r="BA204" s="20">
        <v>0.38958636325337498</v>
      </c>
      <c r="BB204" s="20">
        <v>1.9479318162668748</v>
      </c>
      <c r="BC204" s="20">
        <f>BA204*60*AR204/AY204</f>
        <v>1.4567413294770195</v>
      </c>
      <c r="BD204" s="20">
        <f>BB204*60*AQ204/AY204</f>
        <v>1.4567413294770197</v>
      </c>
    </row>
    <row r="205" spans="1:56" s="18" customFormat="1" ht="15.6" customHeight="1">
      <c r="A205" s="10">
        <v>204</v>
      </c>
      <c r="B205" s="13"/>
      <c r="C205" s="10" t="s">
        <v>12</v>
      </c>
      <c r="D205" s="10"/>
      <c r="E205" s="27">
        <v>1</v>
      </c>
      <c r="F205" s="10"/>
      <c r="G205" s="10"/>
      <c r="H205" s="27"/>
      <c r="I205" s="10" t="s">
        <v>7</v>
      </c>
      <c r="J205" s="10"/>
      <c r="K205" s="10"/>
      <c r="L205" s="10">
        <v>0.05</v>
      </c>
      <c r="M205" s="10" t="s">
        <v>0</v>
      </c>
      <c r="N205" s="10"/>
      <c r="O205" s="10"/>
      <c r="P205" s="10">
        <v>0.1</v>
      </c>
      <c r="Q205" s="10"/>
      <c r="R205" s="10"/>
      <c r="S205" s="10"/>
      <c r="T205" s="10"/>
      <c r="U205" s="10"/>
      <c r="V205" s="10"/>
      <c r="W205" s="10"/>
      <c r="X205" s="10"/>
      <c r="Y205" s="50">
        <v>169</v>
      </c>
      <c r="Z205" s="10">
        <v>250</v>
      </c>
      <c r="AA205" s="10" t="s">
        <v>17</v>
      </c>
      <c r="AB205" s="10" t="s">
        <v>311</v>
      </c>
      <c r="AC205" s="20">
        <v>0</v>
      </c>
      <c r="AD205" s="10" t="s">
        <v>44</v>
      </c>
      <c r="AE205" s="10" t="s">
        <v>211</v>
      </c>
      <c r="AF205" s="10" t="s">
        <v>208</v>
      </c>
      <c r="AG205" s="10">
        <v>5</v>
      </c>
      <c r="AH205" s="10">
        <v>0.75</v>
      </c>
      <c r="AI205" s="27">
        <f>1*10/5</f>
        <v>2</v>
      </c>
      <c r="AJ205" s="27"/>
      <c r="AK205" s="10">
        <v>1</v>
      </c>
      <c r="AL205" s="10">
        <v>623</v>
      </c>
      <c r="AM205" s="19"/>
      <c r="AN205" s="19"/>
      <c r="AO205" s="19">
        <v>0.4718</v>
      </c>
      <c r="AP205" s="19">
        <f>Table1[[#This Row],[Y_Acryl_Fa]]/Table1[[#This Row],[X_Fa]]</f>
        <v>0.93980500211954221</v>
      </c>
      <c r="AQ205" s="19">
        <f>Table1[[#This Row],[Y_Acryl_Fa]]/Table1[[#This Row],[Ratio_Ac_Fa]]</f>
        <v>8.8680000000000009E-2</v>
      </c>
      <c r="AR205" s="19">
        <v>0.44340000000000002</v>
      </c>
      <c r="AS205" s="28">
        <f t="shared" si="30"/>
        <v>2.0729111215985574</v>
      </c>
      <c r="AT205" s="29"/>
      <c r="AU205" s="10" t="s">
        <v>74</v>
      </c>
      <c r="AV205" s="19" t="s">
        <v>149</v>
      </c>
      <c r="AW205" s="10" t="s">
        <v>111</v>
      </c>
      <c r="AX205" s="10">
        <v>2016</v>
      </c>
      <c r="AY205" s="10">
        <v>5</v>
      </c>
      <c r="AZ205" s="20">
        <v>0.29218977244003119</v>
      </c>
      <c r="BA205" s="20">
        <v>0.38958636325337498</v>
      </c>
      <c r="BB205" s="20">
        <v>1.9479318162668748</v>
      </c>
      <c r="BC205" s="20">
        <f>BA205*60*AR205/AY205</f>
        <v>2.0729111215985574</v>
      </c>
      <c r="BD205" s="20">
        <f>BB205*60*AQ205/AY205</f>
        <v>2.0729111215985578</v>
      </c>
    </row>
    <row r="206" spans="1:56" s="18" customFormat="1">
      <c r="A206" s="10">
        <v>205</v>
      </c>
      <c r="B206" s="13"/>
      <c r="C206" s="10" t="s">
        <v>12</v>
      </c>
      <c r="D206" s="10"/>
      <c r="E206" s="27">
        <v>1</v>
      </c>
      <c r="F206" s="10"/>
      <c r="G206" s="10"/>
      <c r="H206" s="27"/>
      <c r="I206" s="10" t="s">
        <v>7</v>
      </c>
      <c r="J206" s="10"/>
      <c r="K206" s="10"/>
      <c r="L206" s="10">
        <v>0.05</v>
      </c>
      <c r="M206" s="10" t="s">
        <v>0</v>
      </c>
      <c r="N206" s="10"/>
      <c r="O206" s="10"/>
      <c r="P206" s="10">
        <v>0.1</v>
      </c>
      <c r="Q206" s="10"/>
      <c r="R206" s="10"/>
      <c r="S206" s="10"/>
      <c r="T206" s="10"/>
      <c r="U206" s="10"/>
      <c r="V206" s="10"/>
      <c r="W206" s="10"/>
      <c r="X206" s="10"/>
      <c r="Y206" s="50">
        <v>169</v>
      </c>
      <c r="Z206" s="10">
        <v>250</v>
      </c>
      <c r="AA206" s="10" t="s">
        <v>17</v>
      </c>
      <c r="AB206" s="10" t="s">
        <v>311</v>
      </c>
      <c r="AC206" s="20">
        <v>0</v>
      </c>
      <c r="AD206" s="10" t="s">
        <v>44</v>
      </c>
      <c r="AE206" s="10" t="s">
        <v>211</v>
      </c>
      <c r="AF206" s="10" t="s">
        <v>208</v>
      </c>
      <c r="AG206" s="10">
        <v>5</v>
      </c>
      <c r="AH206" s="10">
        <v>0.75</v>
      </c>
      <c r="AI206" s="27">
        <f>1.7*10/5</f>
        <v>3.4</v>
      </c>
      <c r="AJ206" s="27"/>
      <c r="AK206" s="10">
        <v>1</v>
      </c>
      <c r="AL206" s="10">
        <v>653</v>
      </c>
      <c r="AM206" s="19"/>
      <c r="AN206" s="19"/>
      <c r="AO206" s="19"/>
      <c r="AP206" s="19"/>
      <c r="AQ206" s="19">
        <f>Table1[[#This Row],[Y_Acryl_Fa]]/Table1[[#This Row],[Ratio_Ac_Fa]]</f>
        <v>9.4199999999999992E-2</v>
      </c>
      <c r="AR206" s="19">
        <v>0.47099999999999997</v>
      </c>
      <c r="AS206" s="28">
        <f t="shared" si="30"/>
        <v>3.7433016126837275</v>
      </c>
      <c r="AT206" s="29">
        <v>1</v>
      </c>
      <c r="AU206" s="10" t="s">
        <v>74</v>
      </c>
      <c r="AV206" s="19" t="s">
        <v>150</v>
      </c>
      <c r="AW206" s="10" t="s">
        <v>111</v>
      </c>
      <c r="AX206" s="10">
        <v>2016</v>
      </c>
      <c r="AY206" s="10">
        <v>5</v>
      </c>
      <c r="AZ206" s="20">
        <v>0.49672261314805305</v>
      </c>
      <c r="BA206" s="20">
        <v>0.66229681753073744</v>
      </c>
      <c r="BB206" s="20">
        <v>3.3114840876536871</v>
      </c>
      <c r="BC206" s="20">
        <f>BA206*60*AR206/AY206</f>
        <v>3.7433016126837275</v>
      </c>
      <c r="BD206" s="20">
        <f>BB206*60*AQ206/AY206</f>
        <v>3.7433016126837275</v>
      </c>
    </row>
    <row r="207" spans="1:56" s="18" customFormat="1">
      <c r="A207" s="10">
        <v>206</v>
      </c>
      <c r="B207" s="13"/>
      <c r="C207" s="10" t="s">
        <v>12</v>
      </c>
      <c r="D207" s="10"/>
      <c r="E207" s="27">
        <v>1</v>
      </c>
      <c r="F207" s="10"/>
      <c r="G207" s="10"/>
      <c r="H207" s="27"/>
      <c r="I207" s="10" t="s">
        <v>7</v>
      </c>
      <c r="J207" s="10"/>
      <c r="K207" s="10"/>
      <c r="L207" s="10">
        <v>0.05</v>
      </c>
      <c r="M207" s="10" t="s">
        <v>0</v>
      </c>
      <c r="N207" s="10"/>
      <c r="O207" s="10"/>
      <c r="P207" s="10">
        <v>0.1</v>
      </c>
      <c r="Q207" s="10"/>
      <c r="R207" s="10"/>
      <c r="S207" s="10"/>
      <c r="T207" s="10"/>
      <c r="U207" s="10"/>
      <c r="V207" s="10"/>
      <c r="W207" s="10"/>
      <c r="X207" s="10"/>
      <c r="Y207" s="50">
        <v>142</v>
      </c>
      <c r="Z207" s="10">
        <v>214.6</v>
      </c>
      <c r="AA207" s="10" t="s">
        <v>148</v>
      </c>
      <c r="AB207" s="10">
        <v>1</v>
      </c>
      <c r="AC207" s="20">
        <v>0</v>
      </c>
      <c r="AD207" s="10" t="s">
        <v>44</v>
      </c>
      <c r="AE207" s="10" t="s">
        <v>211</v>
      </c>
      <c r="AF207" s="10" t="s">
        <v>95</v>
      </c>
      <c r="AG207" s="10">
        <v>5</v>
      </c>
      <c r="AH207" s="10">
        <v>0</v>
      </c>
      <c r="AI207" s="27"/>
      <c r="AJ207" s="27"/>
      <c r="AK207" s="10">
        <v>1</v>
      </c>
      <c r="AL207" s="10">
        <v>623</v>
      </c>
      <c r="AM207" s="19"/>
      <c r="AN207" s="19"/>
      <c r="AO207" s="19">
        <f>Table1[[#This Row],[Y_Acryl_Fa]]/Table1[[#This Row],[S_Acryl_Fa]]</f>
        <v>0.40918367346938778</v>
      </c>
      <c r="AP207" s="19">
        <v>0.98</v>
      </c>
      <c r="AQ207" s="19">
        <f>Table1[[#This Row],[Y_Acryl_Fa]]/Table1[[#This Row],[Ratio_Ac_Fa]]</f>
        <v>8.0200000000000007E-2</v>
      </c>
      <c r="AR207" s="19">
        <v>0.40100000000000002</v>
      </c>
      <c r="AS207" s="28"/>
      <c r="AT207" s="29"/>
      <c r="AU207" s="10" t="s">
        <v>54</v>
      </c>
      <c r="AV207" s="19" t="s">
        <v>151</v>
      </c>
      <c r="AW207" s="10" t="s">
        <v>111</v>
      </c>
      <c r="AX207" s="10">
        <v>2017</v>
      </c>
      <c r="AY207" s="10">
        <v>500</v>
      </c>
      <c r="AZ207" s="10"/>
      <c r="BA207" s="20"/>
      <c r="BB207" s="20"/>
      <c r="BC207" s="20"/>
      <c r="BD207" s="20"/>
    </row>
    <row r="208" spans="1:56" s="18" customFormat="1">
      <c r="A208" s="10">
        <v>207</v>
      </c>
      <c r="B208" s="13"/>
      <c r="C208" s="10" t="s">
        <v>12</v>
      </c>
      <c r="D208" s="10"/>
      <c r="E208" s="27">
        <v>1</v>
      </c>
      <c r="F208" s="10"/>
      <c r="G208" s="10"/>
      <c r="H208" s="27"/>
      <c r="I208" s="10" t="s">
        <v>7</v>
      </c>
      <c r="J208" s="10"/>
      <c r="K208" s="10">
        <v>0.09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50"/>
      <c r="Z208" s="10">
        <v>250</v>
      </c>
      <c r="AA208" s="10" t="s">
        <v>3</v>
      </c>
      <c r="AB208" s="10">
        <v>1</v>
      </c>
      <c r="AC208" s="20">
        <f t="shared" ref="AC208:AC222" si="31">21/(79+21)</f>
        <v>0.21</v>
      </c>
      <c r="AD208" s="10" t="s">
        <v>44</v>
      </c>
      <c r="AE208" s="10" t="s">
        <v>211</v>
      </c>
      <c r="AF208" s="10" t="s">
        <v>95</v>
      </c>
      <c r="AG208" s="10">
        <v>5</v>
      </c>
      <c r="AH208" s="10">
        <v>0</v>
      </c>
      <c r="AI208" s="27">
        <f t="shared" ref="AI208:AI222" si="32">0.1*60/5</f>
        <v>1.2</v>
      </c>
      <c r="AJ208" s="27"/>
      <c r="AK208" s="10">
        <v>1</v>
      </c>
      <c r="AL208" s="10">
        <v>623</v>
      </c>
      <c r="AM208" s="19"/>
      <c r="AN208" s="19"/>
      <c r="AO208" s="19">
        <v>0.37270000000000003</v>
      </c>
      <c r="AP208" s="19">
        <v>0.92180000000000006</v>
      </c>
      <c r="AQ208" s="19">
        <f>Table1[[#This Row],[Y_Acryl_Fa]]/Table1[[#This Row],[Ratio_Ac_Fa]]</f>
        <v>6.8710972000000009E-2</v>
      </c>
      <c r="AR208" s="19">
        <f>Table1[[#This Row],[X_Fa]]*Table1[[#This Row],[S_Acryl_Fa]]</f>
        <v>0.34355486000000007</v>
      </c>
      <c r="AS208" s="28">
        <f t="shared" ref="AS208:AS239" si="33">AVERAGE(BC208:BD208)</f>
        <v>1.0373427522246224</v>
      </c>
      <c r="AT208" s="16"/>
      <c r="AU208" s="10" t="s">
        <v>155</v>
      </c>
      <c r="AV208" s="30" t="s">
        <v>341</v>
      </c>
      <c r="AW208" s="10" t="s">
        <v>111</v>
      </c>
      <c r="AX208" s="10">
        <v>2017</v>
      </c>
      <c r="AY208" s="10">
        <v>5</v>
      </c>
      <c r="AZ208" s="10"/>
      <c r="BA208" s="20">
        <v>0.25161987041036721</v>
      </c>
      <c r="BB208" s="20">
        <v>1.2580993520518362</v>
      </c>
      <c r="BC208" s="20">
        <f>BA208*60*AR208/AY208</f>
        <v>1.0373427522246224</v>
      </c>
      <c r="BD208" s="20">
        <f>BB208*60*AQ208/AY208</f>
        <v>1.0373427522246224</v>
      </c>
    </row>
    <row r="209" spans="1:56" s="18" customFormat="1">
      <c r="A209" s="10">
        <v>208</v>
      </c>
      <c r="B209" s="13"/>
      <c r="C209" s="10" t="s">
        <v>12</v>
      </c>
      <c r="D209" s="10"/>
      <c r="E209" s="27">
        <v>1</v>
      </c>
      <c r="F209" s="10"/>
      <c r="G209" s="10"/>
      <c r="H209" s="27"/>
      <c r="I209" s="10" t="s">
        <v>0</v>
      </c>
      <c r="J209" s="10"/>
      <c r="K209" s="10">
        <v>0.1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50"/>
      <c r="Z209" s="10">
        <v>250</v>
      </c>
      <c r="AA209" s="10" t="s">
        <v>3</v>
      </c>
      <c r="AB209" s="10">
        <v>1</v>
      </c>
      <c r="AC209" s="20">
        <f t="shared" si="31"/>
        <v>0.21</v>
      </c>
      <c r="AD209" s="10" t="s">
        <v>44</v>
      </c>
      <c r="AE209" s="10" t="s">
        <v>211</v>
      </c>
      <c r="AF209" s="10" t="s">
        <v>95</v>
      </c>
      <c r="AG209" s="10">
        <v>5</v>
      </c>
      <c r="AH209" s="10">
        <v>0</v>
      </c>
      <c r="AI209" s="27">
        <f t="shared" si="32"/>
        <v>1.2</v>
      </c>
      <c r="AJ209" s="27"/>
      <c r="AK209" s="10">
        <v>1</v>
      </c>
      <c r="AL209" s="10">
        <v>623</v>
      </c>
      <c r="AM209" s="19"/>
      <c r="AN209" s="19"/>
      <c r="AO209" s="19">
        <v>0.2107</v>
      </c>
      <c r="AP209" s="19">
        <v>0.95620000000000005</v>
      </c>
      <c r="AQ209" s="19">
        <f>Table1[[#This Row],[Y_Acryl_Fa]]/Table1[[#This Row],[Ratio_Ac_Fa]]</f>
        <v>4.0294268000000001E-2</v>
      </c>
      <c r="AR209" s="19">
        <f>Table1[[#This Row],[X_Fa]]*Table1[[#This Row],[S_Acryl_Fa]]</f>
        <v>0.20147134</v>
      </c>
      <c r="AS209" s="28">
        <f t="shared" si="33"/>
        <v>0.6083303095464363</v>
      </c>
      <c r="AT209" s="16"/>
      <c r="AU209" s="10" t="s">
        <v>155</v>
      </c>
      <c r="AV209" s="30"/>
      <c r="AW209" s="10" t="s">
        <v>111</v>
      </c>
      <c r="AX209" s="10">
        <v>2017</v>
      </c>
      <c r="AY209" s="10">
        <v>5</v>
      </c>
      <c r="AZ209" s="10"/>
      <c r="BA209" s="20">
        <v>0.25161987041036721</v>
      </c>
      <c r="BB209" s="20">
        <v>1.2580993520518362</v>
      </c>
      <c r="BC209" s="20">
        <f>BA209*60*AR209/AY209</f>
        <v>0.6083303095464363</v>
      </c>
      <c r="BD209" s="20">
        <f>BB209*60*AQ209/AY209</f>
        <v>0.60833030954643641</v>
      </c>
    </row>
    <row r="210" spans="1:56" s="18" customFormat="1">
      <c r="A210" s="10">
        <v>209</v>
      </c>
      <c r="B210" s="13"/>
      <c r="C210" s="10" t="s">
        <v>12</v>
      </c>
      <c r="D210" s="10"/>
      <c r="E210" s="27">
        <v>1</v>
      </c>
      <c r="F210" s="10"/>
      <c r="G210" s="10"/>
      <c r="H210" s="27"/>
      <c r="I210" s="10" t="s">
        <v>0</v>
      </c>
      <c r="J210" s="10"/>
      <c r="K210" s="10">
        <v>0.1</v>
      </c>
      <c r="L210" s="10"/>
      <c r="M210" s="10" t="s">
        <v>7</v>
      </c>
      <c r="N210" s="10"/>
      <c r="O210" s="10">
        <v>0.09</v>
      </c>
      <c r="P210" s="10"/>
      <c r="Q210" s="10"/>
      <c r="R210" s="10"/>
      <c r="S210" s="10"/>
      <c r="T210" s="10"/>
      <c r="U210" s="10"/>
      <c r="V210" s="10"/>
      <c r="W210" s="10"/>
      <c r="X210" s="10"/>
      <c r="Y210" s="50"/>
      <c r="Z210" s="10">
        <v>250</v>
      </c>
      <c r="AA210" s="10" t="s">
        <v>3</v>
      </c>
      <c r="AB210" s="10">
        <v>1</v>
      </c>
      <c r="AC210" s="20">
        <f t="shared" si="31"/>
        <v>0.21</v>
      </c>
      <c r="AD210" s="10" t="s">
        <v>44</v>
      </c>
      <c r="AE210" s="10" t="s">
        <v>211</v>
      </c>
      <c r="AF210" s="10" t="s">
        <v>95</v>
      </c>
      <c r="AG210" s="10">
        <v>5</v>
      </c>
      <c r="AH210" s="10">
        <v>0</v>
      </c>
      <c r="AI210" s="27">
        <f t="shared" si="32"/>
        <v>1.2</v>
      </c>
      <c r="AJ210" s="27"/>
      <c r="AK210" s="10">
        <v>1</v>
      </c>
      <c r="AL210" s="10">
        <v>623</v>
      </c>
      <c r="AM210" s="19"/>
      <c r="AN210" s="19"/>
      <c r="AO210" s="19">
        <v>0.36759999999999998</v>
      </c>
      <c r="AP210" s="19">
        <v>0.93279999999999996</v>
      </c>
      <c r="AQ210" s="19">
        <f>Table1[[#This Row],[Y_Acryl_Fa]]/Table1[[#This Row],[Ratio_Ac_Fa]]</f>
        <v>6.8579455999999997E-2</v>
      </c>
      <c r="AR210" s="19">
        <f>Table1[[#This Row],[X_Fa]]*Table1[[#This Row],[S_Acryl_Fa]]</f>
        <v>0.34289727999999997</v>
      </c>
      <c r="AS210" s="28">
        <f t="shared" si="33"/>
        <v>1.0353572298920088</v>
      </c>
      <c r="AT210" s="16"/>
      <c r="AU210" s="10" t="s">
        <v>155</v>
      </c>
      <c r="AV210" s="30"/>
      <c r="AW210" s="10" t="s">
        <v>111</v>
      </c>
      <c r="AX210" s="10">
        <v>2017</v>
      </c>
      <c r="AY210" s="10">
        <v>5</v>
      </c>
      <c r="AZ210" s="10"/>
      <c r="BA210" s="20">
        <v>0.25161987041036721</v>
      </c>
      <c r="BB210" s="20">
        <v>1.2580993520518362</v>
      </c>
      <c r="BC210" s="20">
        <f>BA210*60*AR210/AY210</f>
        <v>1.0353572298920086</v>
      </c>
      <c r="BD210" s="20">
        <f>BB210*60*AQ210/AY210</f>
        <v>1.0353572298920088</v>
      </c>
    </row>
    <row r="211" spans="1:56" s="18" customFormat="1">
      <c r="A211" s="10">
        <v>210</v>
      </c>
      <c r="B211" s="13"/>
      <c r="C211" s="10" t="s">
        <v>10</v>
      </c>
      <c r="D211" s="10">
        <v>15</v>
      </c>
      <c r="E211" s="27"/>
      <c r="F211" s="10" t="s">
        <v>12</v>
      </c>
      <c r="G211" s="10">
        <v>1</v>
      </c>
      <c r="H211" s="27"/>
      <c r="I211" s="10" t="s">
        <v>7</v>
      </c>
      <c r="J211" s="10"/>
      <c r="K211" s="10">
        <v>0.09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50">
        <v>200</v>
      </c>
      <c r="Z211" s="10">
        <v>288</v>
      </c>
      <c r="AA211" s="10" t="s">
        <v>3</v>
      </c>
      <c r="AB211" s="10">
        <v>1</v>
      </c>
      <c r="AC211" s="20">
        <f t="shared" si="31"/>
        <v>0.21</v>
      </c>
      <c r="AD211" s="10" t="s">
        <v>44</v>
      </c>
      <c r="AE211" s="10" t="s">
        <v>211</v>
      </c>
      <c r="AF211" s="10" t="s">
        <v>95</v>
      </c>
      <c r="AG211" s="10">
        <v>5</v>
      </c>
      <c r="AH211" s="10">
        <v>0</v>
      </c>
      <c r="AI211" s="27">
        <f t="shared" si="32"/>
        <v>1.2</v>
      </c>
      <c r="AJ211" s="27"/>
      <c r="AK211" s="10">
        <v>1</v>
      </c>
      <c r="AL211" s="10">
        <v>623</v>
      </c>
      <c r="AM211" s="19"/>
      <c r="AN211" s="19"/>
      <c r="AO211" s="19">
        <v>0.41119999999999995</v>
      </c>
      <c r="AP211" s="19">
        <v>0.97629999999999995</v>
      </c>
      <c r="AQ211" s="19">
        <f>Table1[[#This Row],[Y_Acryl_Fa]]/Table1[[#This Row],[Ratio_Ac_Fa]]</f>
        <v>8.0290911999999992E-2</v>
      </c>
      <c r="AR211" s="19">
        <f>Table1[[#This Row],[X_Fa]]*Table1[[#This Row],[S_Acryl_Fa]]</f>
        <v>0.40145455999999996</v>
      </c>
      <c r="AS211" s="28">
        <f t="shared" si="33"/>
        <v>1.2121673323542117</v>
      </c>
      <c r="AT211" s="16">
        <v>1</v>
      </c>
      <c r="AU211" s="10" t="s">
        <v>155</v>
      </c>
      <c r="AV211" s="30"/>
      <c r="AW211" s="10" t="s">
        <v>111</v>
      </c>
      <c r="AX211" s="10">
        <v>2017</v>
      </c>
      <c r="AY211" s="10">
        <v>5</v>
      </c>
      <c r="AZ211" s="10"/>
      <c r="BA211" s="20">
        <v>0.25161987041036721</v>
      </c>
      <c r="BB211" s="20">
        <v>1.2580993520518362</v>
      </c>
      <c r="BC211" s="20">
        <f>BA211*60*AR211/AY211</f>
        <v>1.2121673323542117</v>
      </c>
      <c r="BD211" s="20">
        <f>BB211*60*AQ211/AY211</f>
        <v>1.2121673323542119</v>
      </c>
    </row>
    <row r="212" spans="1:56" s="18" customFormat="1">
      <c r="A212" s="10">
        <v>211</v>
      </c>
      <c r="B212" s="13"/>
      <c r="C212" s="10" t="s">
        <v>10</v>
      </c>
      <c r="D212" s="10">
        <v>15</v>
      </c>
      <c r="E212" s="27"/>
      <c r="F212" s="10" t="s">
        <v>12</v>
      </c>
      <c r="G212" s="10">
        <v>1</v>
      </c>
      <c r="H212" s="27"/>
      <c r="I212" s="10" t="s">
        <v>0</v>
      </c>
      <c r="J212" s="10"/>
      <c r="K212" s="10">
        <v>0.1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50"/>
      <c r="Z212" s="10">
        <v>288</v>
      </c>
      <c r="AA212" s="10" t="s">
        <v>3</v>
      </c>
      <c r="AB212" s="10">
        <v>1</v>
      </c>
      <c r="AC212" s="20">
        <f t="shared" si="31"/>
        <v>0.21</v>
      </c>
      <c r="AD212" s="10" t="s">
        <v>44</v>
      </c>
      <c r="AE212" s="10" t="s">
        <v>211</v>
      </c>
      <c r="AF212" s="10" t="s">
        <v>95</v>
      </c>
      <c r="AG212" s="10">
        <v>5</v>
      </c>
      <c r="AH212" s="10">
        <v>0</v>
      </c>
      <c r="AI212" s="27">
        <f t="shared" si="32"/>
        <v>1.2</v>
      </c>
      <c r="AJ212" s="27"/>
      <c r="AK212" s="10">
        <v>1</v>
      </c>
      <c r="AL212" s="10">
        <v>623</v>
      </c>
      <c r="AM212" s="19"/>
      <c r="AN212" s="19"/>
      <c r="AO212" s="19">
        <v>0.32020000000000004</v>
      </c>
      <c r="AP212" s="19">
        <v>0.94669999999999999</v>
      </c>
      <c r="AQ212" s="19">
        <f>Table1[[#This Row],[Y_Acryl_Fa]]/Table1[[#This Row],[Ratio_Ac_Fa]]</f>
        <v>6.0626668000000009E-2</v>
      </c>
      <c r="AR212" s="19">
        <f>Table1[[#This Row],[X_Fa]]*Table1[[#This Row],[S_Acryl_Fa]]</f>
        <v>0.30313334000000003</v>
      </c>
      <c r="AS212" s="28">
        <f t="shared" si="33"/>
        <v>0.91529246073434156</v>
      </c>
      <c r="AT212" s="16"/>
      <c r="AU212" s="10" t="s">
        <v>155</v>
      </c>
      <c r="AV212" s="30"/>
      <c r="AW212" s="10" t="s">
        <v>111</v>
      </c>
      <c r="AX212" s="10">
        <v>2017</v>
      </c>
      <c r="AY212" s="10">
        <v>5</v>
      </c>
      <c r="AZ212" s="10"/>
      <c r="BA212" s="20">
        <v>0.25161987041036721</v>
      </c>
      <c r="BB212" s="20">
        <v>1.2580993520518362</v>
      </c>
      <c r="BC212" s="20">
        <f>BA212*60*AR212/AY212</f>
        <v>0.91529246073434156</v>
      </c>
      <c r="BD212" s="20">
        <f>BB212*60*AQ212/AY212</f>
        <v>0.91529246073434167</v>
      </c>
    </row>
    <row r="213" spans="1:56" s="18" customFormat="1">
      <c r="A213" s="10">
        <v>212</v>
      </c>
      <c r="B213" s="13"/>
      <c r="C213" s="10" t="s">
        <v>10</v>
      </c>
      <c r="D213" s="10">
        <v>15</v>
      </c>
      <c r="E213" s="27"/>
      <c r="F213" s="10" t="s">
        <v>12</v>
      </c>
      <c r="G213" s="10">
        <v>1</v>
      </c>
      <c r="H213" s="27"/>
      <c r="I213" s="10" t="s">
        <v>0</v>
      </c>
      <c r="J213" s="10"/>
      <c r="K213" s="10">
        <v>0.1</v>
      </c>
      <c r="L213" s="10"/>
      <c r="M213" s="10" t="s">
        <v>7</v>
      </c>
      <c r="N213" s="10"/>
      <c r="O213" s="10">
        <v>0.09</v>
      </c>
      <c r="P213" s="10"/>
      <c r="Q213" s="10"/>
      <c r="R213" s="10"/>
      <c r="S213" s="10"/>
      <c r="T213" s="10"/>
      <c r="U213" s="10"/>
      <c r="V213" s="10"/>
      <c r="W213" s="10"/>
      <c r="X213" s="10"/>
      <c r="Y213" s="50"/>
      <c r="Z213" s="10">
        <v>288</v>
      </c>
      <c r="AA213" s="10" t="s">
        <v>3</v>
      </c>
      <c r="AB213" s="10">
        <v>1</v>
      </c>
      <c r="AC213" s="20">
        <f t="shared" si="31"/>
        <v>0.21</v>
      </c>
      <c r="AD213" s="10" t="s">
        <v>44</v>
      </c>
      <c r="AE213" s="10" t="s">
        <v>211</v>
      </c>
      <c r="AF213" s="10" t="s">
        <v>95</v>
      </c>
      <c r="AG213" s="10">
        <v>5</v>
      </c>
      <c r="AH213" s="10">
        <v>0</v>
      </c>
      <c r="AI213" s="27">
        <f t="shared" si="32"/>
        <v>1.2</v>
      </c>
      <c r="AJ213" s="27"/>
      <c r="AK213" s="10">
        <v>1</v>
      </c>
      <c r="AL213" s="10">
        <v>623</v>
      </c>
      <c r="AM213" s="19"/>
      <c r="AN213" s="19"/>
      <c r="AO213" s="19">
        <v>0.4073</v>
      </c>
      <c r="AP213" s="19">
        <v>0.98319999999999996</v>
      </c>
      <c r="AQ213" s="19">
        <f>Table1[[#This Row],[Y_Acryl_Fa]]/Table1[[#This Row],[Ratio_Ac_Fa]]</f>
        <v>8.0091471999999997E-2</v>
      </c>
      <c r="AR213" s="19">
        <f>Table1[[#This Row],[X_Fa]]*Table1[[#This Row],[S_Acryl_Fa]]</f>
        <v>0.40045735999999998</v>
      </c>
      <c r="AS213" s="28">
        <f t="shared" si="33"/>
        <v>1.2091563483369332</v>
      </c>
      <c r="AT213" s="16"/>
      <c r="AU213" s="10" t="s">
        <v>155</v>
      </c>
      <c r="AV213" s="30"/>
      <c r="AW213" s="10" t="s">
        <v>111</v>
      </c>
      <c r="AX213" s="10">
        <v>2017</v>
      </c>
      <c r="AY213" s="10">
        <v>5</v>
      </c>
      <c r="AZ213" s="10"/>
      <c r="BA213" s="20">
        <v>0.25161987041036721</v>
      </c>
      <c r="BB213" s="20">
        <v>1.2580993520518362</v>
      </c>
      <c r="BC213" s="20">
        <f>BA213*60*AR213/AY213</f>
        <v>1.2091563483369332</v>
      </c>
      <c r="BD213" s="20">
        <f>BB213*60*AQ213/AY213</f>
        <v>1.2091563483369332</v>
      </c>
    </row>
    <row r="214" spans="1:56" s="18" customFormat="1">
      <c r="A214" s="10">
        <v>213</v>
      </c>
      <c r="B214" s="13"/>
      <c r="C214" s="10" t="s">
        <v>10</v>
      </c>
      <c r="D214" s="10"/>
      <c r="E214" s="27">
        <v>1</v>
      </c>
      <c r="F214" s="10"/>
      <c r="G214" s="10"/>
      <c r="H214" s="27"/>
      <c r="I214" s="10" t="s">
        <v>7</v>
      </c>
      <c r="J214" s="10"/>
      <c r="K214" s="10">
        <v>0.09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50"/>
      <c r="Z214" s="10">
        <v>1000</v>
      </c>
      <c r="AA214" s="10" t="s">
        <v>3</v>
      </c>
      <c r="AB214" s="10">
        <v>1</v>
      </c>
      <c r="AC214" s="20">
        <f t="shared" si="31"/>
        <v>0.21</v>
      </c>
      <c r="AD214" s="10" t="s">
        <v>44</v>
      </c>
      <c r="AE214" s="10" t="s">
        <v>211</v>
      </c>
      <c r="AF214" s="10" t="s">
        <v>95</v>
      </c>
      <c r="AG214" s="10">
        <v>5</v>
      </c>
      <c r="AH214" s="10">
        <v>0</v>
      </c>
      <c r="AI214" s="27">
        <f t="shared" si="32"/>
        <v>1.2</v>
      </c>
      <c r="AJ214" s="27"/>
      <c r="AK214" s="10">
        <v>1</v>
      </c>
      <c r="AL214" s="10">
        <v>623</v>
      </c>
      <c r="AM214" s="19"/>
      <c r="AN214" s="19"/>
      <c r="AO214" s="19">
        <v>5.45E-2</v>
      </c>
      <c r="AP214" s="19">
        <v>0.88459999999999994</v>
      </c>
      <c r="AQ214" s="19">
        <f>Table1[[#This Row],[Y_Acryl_Fa]]/Table1[[#This Row],[Ratio_Ac_Fa]]</f>
        <v>9.6421399999999987E-3</v>
      </c>
      <c r="AR214" s="19">
        <f>Table1[[#This Row],[X_Fa]]*Table1[[#This Row],[S_Acryl_Fa]]</f>
        <v>4.8210699999999995E-2</v>
      </c>
      <c r="AS214" s="28">
        <f t="shared" si="33"/>
        <v>0.14556924103671709</v>
      </c>
      <c r="AT214" s="16"/>
      <c r="AU214" s="10" t="s">
        <v>155</v>
      </c>
      <c r="AV214" s="30"/>
      <c r="AW214" s="10" t="s">
        <v>111</v>
      </c>
      <c r="AX214" s="10">
        <v>2017</v>
      </c>
      <c r="AY214" s="10">
        <v>5</v>
      </c>
      <c r="AZ214" s="10"/>
      <c r="BA214" s="20">
        <v>0.25161987041036721</v>
      </c>
      <c r="BB214" s="20">
        <v>1.2580993520518362</v>
      </c>
      <c r="BC214" s="20">
        <f>BA214*60*AR214/AY214</f>
        <v>0.14556924103671706</v>
      </c>
      <c r="BD214" s="20">
        <f>BB214*60*AQ214/AY214</f>
        <v>0.14556924103671709</v>
      </c>
    </row>
    <row r="215" spans="1:56" s="18" customFormat="1">
      <c r="A215" s="10">
        <v>214</v>
      </c>
      <c r="B215" s="13"/>
      <c r="C215" s="10" t="s">
        <v>10</v>
      </c>
      <c r="D215" s="10"/>
      <c r="E215" s="27">
        <v>1</v>
      </c>
      <c r="F215" s="10"/>
      <c r="G215" s="10"/>
      <c r="H215" s="27"/>
      <c r="I215" s="10" t="s">
        <v>0</v>
      </c>
      <c r="J215" s="10"/>
      <c r="K215" s="10">
        <v>0.1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50"/>
      <c r="Z215" s="10">
        <v>1000</v>
      </c>
      <c r="AA215" s="10" t="s">
        <v>3</v>
      </c>
      <c r="AB215" s="10">
        <v>1</v>
      </c>
      <c r="AC215" s="20">
        <f t="shared" si="31"/>
        <v>0.21</v>
      </c>
      <c r="AD215" s="10" t="s">
        <v>44</v>
      </c>
      <c r="AE215" s="10" t="s">
        <v>211</v>
      </c>
      <c r="AF215" s="10" t="s">
        <v>95</v>
      </c>
      <c r="AG215" s="10">
        <v>5</v>
      </c>
      <c r="AH215" s="10">
        <v>0</v>
      </c>
      <c r="AI215" s="27">
        <f t="shared" si="32"/>
        <v>1.2</v>
      </c>
      <c r="AJ215" s="27"/>
      <c r="AK215" s="10">
        <v>1</v>
      </c>
      <c r="AL215" s="10">
        <v>623</v>
      </c>
      <c r="AM215" s="19"/>
      <c r="AN215" s="19"/>
      <c r="AO215" s="19">
        <v>2.3099999999999999E-2</v>
      </c>
      <c r="AP215" s="19">
        <v>0.80269999999999997</v>
      </c>
      <c r="AQ215" s="19">
        <f>Table1[[#This Row],[Y_Acryl_Fa]]/Table1[[#This Row],[Ratio_Ac_Fa]]</f>
        <v>3.7084739999999998E-3</v>
      </c>
      <c r="AR215" s="19">
        <f>Table1[[#This Row],[X_Fa]]*Table1[[#This Row],[S_Acryl_Fa]]</f>
        <v>1.8542369999999999E-2</v>
      </c>
      <c r="AS215" s="28">
        <f t="shared" si="33"/>
        <v>5.5987544838012972E-2</v>
      </c>
      <c r="AT215" s="16"/>
      <c r="AU215" s="10" t="s">
        <v>155</v>
      </c>
      <c r="AV215" s="30"/>
      <c r="AW215" s="10" t="s">
        <v>111</v>
      </c>
      <c r="AX215" s="10">
        <v>2017</v>
      </c>
      <c r="AY215" s="10">
        <v>5</v>
      </c>
      <c r="AZ215" s="10"/>
      <c r="BA215" s="20">
        <v>0.25161987041036721</v>
      </c>
      <c r="BB215" s="20">
        <v>1.2580993520518362</v>
      </c>
      <c r="BC215" s="20">
        <f>BA215*60*AR215/AY215</f>
        <v>5.5987544838012972E-2</v>
      </c>
      <c r="BD215" s="20">
        <f>BB215*60*AQ215/AY215</f>
        <v>5.5987544838012972E-2</v>
      </c>
    </row>
    <row r="216" spans="1:56" s="18" customFormat="1">
      <c r="A216" s="10">
        <v>215</v>
      </c>
      <c r="B216" s="13"/>
      <c r="C216" s="10" t="s">
        <v>10</v>
      </c>
      <c r="D216" s="10"/>
      <c r="E216" s="27">
        <v>1</v>
      </c>
      <c r="F216" s="10"/>
      <c r="G216" s="10"/>
      <c r="H216" s="27"/>
      <c r="I216" s="10" t="s">
        <v>0</v>
      </c>
      <c r="J216" s="10"/>
      <c r="K216" s="10">
        <v>0.1</v>
      </c>
      <c r="L216" s="10"/>
      <c r="M216" s="10" t="s">
        <v>7</v>
      </c>
      <c r="N216" s="10"/>
      <c r="O216" s="10">
        <v>0.09</v>
      </c>
      <c r="P216" s="10"/>
      <c r="Q216" s="10"/>
      <c r="R216" s="10"/>
      <c r="S216" s="10"/>
      <c r="T216" s="10"/>
      <c r="U216" s="10"/>
      <c r="V216" s="10"/>
      <c r="W216" s="10"/>
      <c r="X216" s="10"/>
      <c r="Y216" s="50"/>
      <c r="Z216" s="10">
        <v>1000</v>
      </c>
      <c r="AA216" s="10" t="s">
        <v>3</v>
      </c>
      <c r="AB216" s="10">
        <v>1</v>
      </c>
      <c r="AC216" s="20">
        <f t="shared" si="31"/>
        <v>0.21</v>
      </c>
      <c r="AD216" s="10" t="s">
        <v>44</v>
      </c>
      <c r="AE216" s="10" t="s">
        <v>211</v>
      </c>
      <c r="AF216" s="10" t="s">
        <v>95</v>
      </c>
      <c r="AG216" s="10">
        <v>5</v>
      </c>
      <c r="AH216" s="10">
        <v>0</v>
      </c>
      <c r="AI216" s="27">
        <f t="shared" si="32"/>
        <v>1.2</v>
      </c>
      <c r="AJ216" s="27"/>
      <c r="AK216" s="10">
        <v>1</v>
      </c>
      <c r="AL216" s="10">
        <v>623</v>
      </c>
      <c r="AM216" s="19"/>
      <c r="AN216" s="19"/>
      <c r="AO216" s="19">
        <v>5.7000000000000002E-2</v>
      </c>
      <c r="AP216" s="19">
        <v>0.87390000000000001</v>
      </c>
      <c r="AQ216" s="19">
        <f>Table1[[#This Row],[Y_Acryl_Fa]]/Table1[[#This Row],[Ratio_Ac_Fa]]</f>
        <v>9.9624600000000011E-3</v>
      </c>
      <c r="AR216" s="19">
        <f>Table1[[#This Row],[X_Fa]]*Table1[[#This Row],[S_Acryl_Fa]]</f>
        <v>4.9812300000000004E-2</v>
      </c>
      <c r="AS216" s="28">
        <f t="shared" si="33"/>
        <v>0.15040517365010803</v>
      </c>
      <c r="AT216" s="16"/>
      <c r="AU216" s="10" t="s">
        <v>155</v>
      </c>
      <c r="AV216" s="30"/>
      <c r="AW216" s="10" t="s">
        <v>111</v>
      </c>
      <c r="AX216" s="10">
        <v>2017</v>
      </c>
      <c r="AY216" s="10">
        <v>5</v>
      </c>
      <c r="AZ216" s="10"/>
      <c r="BA216" s="20">
        <v>0.25161987041036721</v>
      </c>
      <c r="BB216" s="20">
        <v>1.2580993520518362</v>
      </c>
      <c r="BC216" s="20">
        <f>BA216*60*AR216/AY216</f>
        <v>0.15040517365010803</v>
      </c>
      <c r="BD216" s="20">
        <f>BB216*60*AQ216/AY216</f>
        <v>0.15040517365010805</v>
      </c>
    </row>
    <row r="217" spans="1:56" s="18" customFormat="1">
      <c r="A217" s="10">
        <v>216</v>
      </c>
      <c r="B217" s="13"/>
      <c r="C217" s="10" t="s">
        <v>10</v>
      </c>
      <c r="D217" s="10"/>
      <c r="E217" s="27">
        <v>1</v>
      </c>
      <c r="F217" s="10"/>
      <c r="G217" s="10"/>
      <c r="H217" s="27"/>
      <c r="I217" s="10" t="s">
        <v>7</v>
      </c>
      <c r="J217" s="10"/>
      <c r="K217" s="10">
        <v>0.09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50"/>
      <c r="Z217" s="10">
        <v>750</v>
      </c>
      <c r="AA217" s="10" t="s">
        <v>3</v>
      </c>
      <c r="AB217" s="10">
        <v>1</v>
      </c>
      <c r="AC217" s="20">
        <f t="shared" si="31"/>
        <v>0.21</v>
      </c>
      <c r="AD217" s="10" t="s">
        <v>44</v>
      </c>
      <c r="AE217" s="10" t="s">
        <v>211</v>
      </c>
      <c r="AF217" s="10" t="s">
        <v>95</v>
      </c>
      <c r="AG217" s="10">
        <v>5</v>
      </c>
      <c r="AH217" s="10">
        <v>0</v>
      </c>
      <c r="AI217" s="27">
        <f t="shared" si="32"/>
        <v>1.2</v>
      </c>
      <c r="AJ217" s="27"/>
      <c r="AK217" s="10">
        <v>1</v>
      </c>
      <c r="AL217" s="10">
        <v>623</v>
      </c>
      <c r="AM217" s="19"/>
      <c r="AN217" s="19"/>
      <c r="AO217" s="19">
        <v>8.9900000000000008E-2</v>
      </c>
      <c r="AP217" s="19">
        <v>0.80180000000000007</v>
      </c>
      <c r="AQ217" s="19">
        <f>Table1[[#This Row],[Y_Acryl_Fa]]/Table1[[#This Row],[Ratio_Ac_Fa]]</f>
        <v>1.4416364000000004E-2</v>
      </c>
      <c r="AR217" s="19">
        <f>Table1[[#This Row],[X_Fa]]*Table1[[#This Row],[S_Acryl_Fa]]</f>
        <v>7.2081820000000019E-2</v>
      </c>
      <c r="AS217" s="28">
        <f t="shared" si="33"/>
        <v>0.21764661848812106</v>
      </c>
      <c r="AT217" s="16"/>
      <c r="AU217" s="10" t="s">
        <v>155</v>
      </c>
      <c r="AV217" s="30"/>
      <c r="AW217" s="10" t="s">
        <v>111</v>
      </c>
      <c r="AX217" s="10">
        <v>2017</v>
      </c>
      <c r="AY217" s="10">
        <v>5</v>
      </c>
      <c r="AZ217" s="10"/>
      <c r="BA217" s="20">
        <v>0.25161987041036721</v>
      </c>
      <c r="BB217" s="20">
        <v>1.2580993520518362</v>
      </c>
      <c r="BC217" s="20">
        <f>BA217*60*AR217/AY217</f>
        <v>0.21764661848812103</v>
      </c>
      <c r="BD217" s="20">
        <f>BB217*60*AQ217/AY217</f>
        <v>0.21764661848812109</v>
      </c>
    </row>
    <row r="218" spans="1:56" s="18" customFormat="1">
      <c r="A218" s="10">
        <v>217</v>
      </c>
      <c r="B218" s="13"/>
      <c r="C218" s="10" t="s">
        <v>10</v>
      </c>
      <c r="D218" s="10"/>
      <c r="E218" s="27">
        <v>1</v>
      </c>
      <c r="F218" s="10"/>
      <c r="G218" s="10"/>
      <c r="H218" s="27"/>
      <c r="I218" s="10" t="s">
        <v>0</v>
      </c>
      <c r="J218" s="10"/>
      <c r="K218" s="10">
        <v>0.1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50"/>
      <c r="Z218" s="10">
        <v>750</v>
      </c>
      <c r="AA218" s="10" t="s">
        <v>3</v>
      </c>
      <c r="AB218" s="10">
        <v>1</v>
      </c>
      <c r="AC218" s="20">
        <f t="shared" si="31"/>
        <v>0.21</v>
      </c>
      <c r="AD218" s="10" t="s">
        <v>44</v>
      </c>
      <c r="AE218" s="10" t="s">
        <v>211</v>
      </c>
      <c r="AF218" s="10" t="s">
        <v>95</v>
      </c>
      <c r="AG218" s="10">
        <v>5</v>
      </c>
      <c r="AH218" s="10">
        <v>0</v>
      </c>
      <c r="AI218" s="27">
        <f t="shared" si="32"/>
        <v>1.2</v>
      </c>
      <c r="AJ218" s="27"/>
      <c r="AK218" s="10">
        <v>1</v>
      </c>
      <c r="AL218" s="10">
        <v>623</v>
      </c>
      <c r="AM218" s="19"/>
      <c r="AN218" s="19"/>
      <c r="AO218" s="19">
        <v>2.12E-2</v>
      </c>
      <c r="AP218" s="19">
        <v>0.72589999999999999</v>
      </c>
      <c r="AQ218" s="19">
        <f>Table1[[#This Row],[Y_Acryl_Fa]]/Table1[[#This Row],[Ratio_Ac_Fa]]</f>
        <v>3.0778159999999997E-3</v>
      </c>
      <c r="AR218" s="19">
        <f>Table1[[#This Row],[X_Fa]]*Table1[[#This Row],[S_Acryl_Fa]]</f>
        <v>1.5389079999999999E-2</v>
      </c>
      <c r="AS218" s="28">
        <f t="shared" si="33"/>
        <v>4.6466379784017284E-2</v>
      </c>
      <c r="AT218" s="16"/>
      <c r="AU218" s="10" t="s">
        <v>155</v>
      </c>
      <c r="AV218" s="30"/>
      <c r="AW218" s="10" t="s">
        <v>111</v>
      </c>
      <c r="AX218" s="10">
        <v>2017</v>
      </c>
      <c r="AY218" s="10">
        <v>5</v>
      </c>
      <c r="AZ218" s="10"/>
      <c r="BA218" s="20">
        <v>0.25161987041036721</v>
      </c>
      <c r="BB218" s="20">
        <v>1.2580993520518362</v>
      </c>
      <c r="BC218" s="20">
        <f>BA218*60*AR218/AY218</f>
        <v>4.6466379784017284E-2</v>
      </c>
      <c r="BD218" s="20">
        <f>BB218*60*AQ218/AY218</f>
        <v>4.6466379784017284E-2</v>
      </c>
    </row>
    <row r="219" spans="1:56" s="18" customFormat="1">
      <c r="A219" s="10">
        <v>218</v>
      </c>
      <c r="B219" s="13"/>
      <c r="C219" s="10" t="s">
        <v>10</v>
      </c>
      <c r="D219" s="10"/>
      <c r="E219" s="27">
        <v>1</v>
      </c>
      <c r="F219" s="10"/>
      <c r="G219" s="10"/>
      <c r="H219" s="27"/>
      <c r="I219" s="10" t="s">
        <v>0</v>
      </c>
      <c r="J219" s="10"/>
      <c r="K219" s="10">
        <v>0.1</v>
      </c>
      <c r="L219" s="10"/>
      <c r="M219" s="10" t="s">
        <v>7</v>
      </c>
      <c r="N219" s="10"/>
      <c r="O219" s="10">
        <v>0.09</v>
      </c>
      <c r="P219" s="10"/>
      <c r="Q219" s="10"/>
      <c r="R219" s="10"/>
      <c r="S219" s="10"/>
      <c r="T219" s="10"/>
      <c r="U219" s="10"/>
      <c r="V219" s="10"/>
      <c r="W219" s="10"/>
      <c r="X219" s="10"/>
      <c r="Y219" s="50"/>
      <c r="Z219" s="10">
        <v>750</v>
      </c>
      <c r="AA219" s="10" t="s">
        <v>3</v>
      </c>
      <c r="AB219" s="10">
        <v>1</v>
      </c>
      <c r="AC219" s="20">
        <f t="shared" si="31"/>
        <v>0.21</v>
      </c>
      <c r="AD219" s="10" t="s">
        <v>44</v>
      </c>
      <c r="AE219" s="10" t="s">
        <v>211</v>
      </c>
      <c r="AF219" s="10" t="s">
        <v>95</v>
      </c>
      <c r="AG219" s="10">
        <v>5</v>
      </c>
      <c r="AH219" s="10">
        <v>0</v>
      </c>
      <c r="AI219" s="27">
        <f t="shared" si="32"/>
        <v>1.2</v>
      </c>
      <c r="AJ219" s="27"/>
      <c r="AK219" s="10">
        <v>1</v>
      </c>
      <c r="AL219" s="10">
        <v>623</v>
      </c>
      <c r="AM219" s="19"/>
      <c r="AN219" s="19"/>
      <c r="AO219" s="19">
        <v>8.9800000000000005E-2</v>
      </c>
      <c r="AP219" s="19">
        <v>0.81669999999999998</v>
      </c>
      <c r="AQ219" s="19">
        <f>Table1[[#This Row],[Y_Acryl_Fa]]/Table1[[#This Row],[Ratio_Ac_Fa]]</f>
        <v>1.4667932E-2</v>
      </c>
      <c r="AR219" s="19">
        <f>Table1[[#This Row],[X_Fa]]*Table1[[#This Row],[S_Acryl_Fa]]</f>
        <v>7.3339660000000001E-2</v>
      </c>
      <c r="AS219" s="28">
        <f t="shared" si="33"/>
        <v>0.2214445889416847</v>
      </c>
      <c r="AT219" s="16"/>
      <c r="AU219" s="10" t="s">
        <v>155</v>
      </c>
      <c r="AV219" s="30"/>
      <c r="AW219" s="10" t="s">
        <v>111</v>
      </c>
      <c r="AX219" s="10">
        <v>2017</v>
      </c>
      <c r="AY219" s="10">
        <v>5</v>
      </c>
      <c r="AZ219" s="10"/>
      <c r="BA219" s="20">
        <v>0.25161987041036721</v>
      </c>
      <c r="BB219" s="20">
        <v>1.2580993520518362</v>
      </c>
      <c r="BC219" s="20">
        <f>BA219*60*AR219/AY219</f>
        <v>0.22144458894168467</v>
      </c>
      <c r="BD219" s="20">
        <f>BB219*60*AQ219/AY219</f>
        <v>0.22144458894168473</v>
      </c>
    </row>
    <row r="220" spans="1:56" s="18" customFormat="1">
      <c r="A220" s="10">
        <v>219</v>
      </c>
      <c r="B220" s="13"/>
      <c r="C220" s="10" t="s">
        <v>10</v>
      </c>
      <c r="D220" s="10">
        <v>15</v>
      </c>
      <c r="E220" s="27"/>
      <c r="F220" s="10" t="s">
        <v>12</v>
      </c>
      <c r="G220" s="10">
        <v>1</v>
      </c>
      <c r="H220" s="27"/>
      <c r="I220" s="10" t="s">
        <v>7</v>
      </c>
      <c r="J220" s="10"/>
      <c r="K220" s="10">
        <v>0.09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50"/>
      <c r="Z220" s="10">
        <v>600</v>
      </c>
      <c r="AA220" s="10" t="s">
        <v>3</v>
      </c>
      <c r="AB220" s="10">
        <v>1</v>
      </c>
      <c r="AC220" s="20">
        <f t="shared" si="31"/>
        <v>0.21</v>
      </c>
      <c r="AD220" s="10" t="s">
        <v>44</v>
      </c>
      <c r="AE220" s="10" t="s">
        <v>211</v>
      </c>
      <c r="AF220" s="10" t="s">
        <v>95</v>
      </c>
      <c r="AG220" s="10">
        <v>5</v>
      </c>
      <c r="AH220" s="10">
        <v>0</v>
      </c>
      <c r="AI220" s="27">
        <f t="shared" si="32"/>
        <v>1.2</v>
      </c>
      <c r="AJ220" s="27"/>
      <c r="AK220" s="10">
        <v>1</v>
      </c>
      <c r="AL220" s="10">
        <v>623</v>
      </c>
      <c r="AM220" s="19"/>
      <c r="AN220" s="19"/>
      <c r="AO220" s="19">
        <v>0.1125</v>
      </c>
      <c r="AP220" s="19">
        <v>0.81230000000000002</v>
      </c>
      <c r="AQ220" s="19">
        <f>Table1[[#This Row],[Y_Acryl_Fa]]/Table1[[#This Row],[Ratio_Ac_Fa]]</f>
        <v>1.8276750000000001E-2</v>
      </c>
      <c r="AR220" s="19">
        <f>Table1[[#This Row],[X_Fa]]*Table1[[#This Row],[S_Acryl_Fa]]</f>
        <v>9.138375E-2</v>
      </c>
      <c r="AS220" s="28">
        <f t="shared" si="33"/>
        <v>0.27592760799136073</v>
      </c>
      <c r="AT220" s="16"/>
      <c r="AU220" s="10" t="s">
        <v>155</v>
      </c>
      <c r="AV220" s="30"/>
      <c r="AW220" s="10" t="s">
        <v>111</v>
      </c>
      <c r="AX220" s="10">
        <v>2017</v>
      </c>
      <c r="AY220" s="10">
        <v>5</v>
      </c>
      <c r="AZ220" s="10"/>
      <c r="BA220" s="20">
        <v>0.25161987041036721</v>
      </c>
      <c r="BB220" s="20">
        <v>1.2580993520518362</v>
      </c>
      <c r="BC220" s="20">
        <f>BA220*60*AR220/AY220</f>
        <v>0.27592760799136073</v>
      </c>
      <c r="BD220" s="20">
        <f>BB220*60*AQ220/AY220</f>
        <v>0.27592760799136079</v>
      </c>
    </row>
    <row r="221" spans="1:56" s="18" customFormat="1">
      <c r="A221" s="10">
        <v>220</v>
      </c>
      <c r="B221" s="13"/>
      <c r="C221" s="10" t="s">
        <v>10</v>
      </c>
      <c r="D221" s="10">
        <v>15</v>
      </c>
      <c r="E221" s="27"/>
      <c r="F221" s="10" t="s">
        <v>12</v>
      </c>
      <c r="G221" s="10">
        <v>1</v>
      </c>
      <c r="H221" s="27"/>
      <c r="I221" s="10" t="s">
        <v>0</v>
      </c>
      <c r="J221" s="10"/>
      <c r="K221" s="10">
        <v>0.1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50"/>
      <c r="Z221" s="10">
        <v>600</v>
      </c>
      <c r="AA221" s="10" t="s">
        <v>3</v>
      </c>
      <c r="AB221" s="10">
        <v>1</v>
      </c>
      <c r="AC221" s="20">
        <f t="shared" si="31"/>
        <v>0.21</v>
      </c>
      <c r="AD221" s="10" t="s">
        <v>44</v>
      </c>
      <c r="AE221" s="10" t="s">
        <v>211</v>
      </c>
      <c r="AF221" s="10" t="s">
        <v>95</v>
      </c>
      <c r="AG221" s="10">
        <v>5</v>
      </c>
      <c r="AH221" s="10">
        <v>0</v>
      </c>
      <c r="AI221" s="27">
        <f t="shared" si="32"/>
        <v>1.2</v>
      </c>
      <c r="AJ221" s="27"/>
      <c r="AK221" s="10">
        <v>1</v>
      </c>
      <c r="AL221" s="10">
        <v>623</v>
      </c>
      <c r="AM221" s="19"/>
      <c r="AN221" s="19"/>
      <c r="AO221" s="19">
        <v>3.95E-2</v>
      </c>
      <c r="AP221" s="19">
        <v>0.72140000000000004</v>
      </c>
      <c r="AQ221" s="19">
        <f>Table1[[#This Row],[Y_Acryl_Fa]]/Table1[[#This Row],[Ratio_Ac_Fa]]</f>
        <v>5.6990600000000006E-3</v>
      </c>
      <c r="AR221" s="19">
        <f>Table1[[#This Row],[X_Fa]]*Table1[[#This Row],[S_Acryl_Fa]]</f>
        <v>2.8495300000000001E-2</v>
      </c>
      <c r="AS221" s="28">
        <f t="shared" si="33"/>
        <v>8.6039804319654439E-2</v>
      </c>
      <c r="AT221" s="16"/>
      <c r="AU221" s="10" t="s">
        <v>155</v>
      </c>
      <c r="AV221" s="30"/>
      <c r="AW221" s="10" t="s">
        <v>111</v>
      </c>
      <c r="AX221" s="10">
        <v>2017</v>
      </c>
      <c r="AY221" s="10">
        <v>5</v>
      </c>
      <c r="AZ221" s="10"/>
      <c r="BA221" s="20">
        <v>0.25161987041036721</v>
      </c>
      <c r="BB221" s="20">
        <v>1.2580993520518362</v>
      </c>
      <c r="BC221" s="20">
        <f>BA221*60*AR221/AY221</f>
        <v>8.6039804319654439E-2</v>
      </c>
      <c r="BD221" s="20">
        <f>BB221*60*AQ221/AY221</f>
        <v>8.6039804319654453E-2</v>
      </c>
    </row>
    <row r="222" spans="1:56" s="18" customFormat="1">
      <c r="A222" s="10">
        <v>221</v>
      </c>
      <c r="B222" s="13"/>
      <c r="C222" s="10" t="s">
        <v>10</v>
      </c>
      <c r="D222" s="10">
        <v>15</v>
      </c>
      <c r="E222" s="27"/>
      <c r="F222" s="10" t="s">
        <v>12</v>
      </c>
      <c r="G222" s="10">
        <v>1</v>
      </c>
      <c r="H222" s="27"/>
      <c r="I222" s="10" t="s">
        <v>0</v>
      </c>
      <c r="J222" s="10"/>
      <c r="K222" s="10">
        <v>0.1</v>
      </c>
      <c r="L222" s="10"/>
      <c r="M222" s="10" t="s">
        <v>7</v>
      </c>
      <c r="N222" s="10"/>
      <c r="O222" s="10">
        <v>0.09</v>
      </c>
      <c r="P222" s="10"/>
      <c r="Q222" s="10"/>
      <c r="R222" s="10"/>
      <c r="S222" s="10"/>
      <c r="T222" s="10"/>
      <c r="U222" s="10"/>
      <c r="V222" s="10"/>
      <c r="W222" s="10"/>
      <c r="X222" s="10"/>
      <c r="Y222" s="50"/>
      <c r="Z222" s="10">
        <v>600</v>
      </c>
      <c r="AA222" s="10" t="s">
        <v>3</v>
      </c>
      <c r="AB222" s="10">
        <v>1</v>
      </c>
      <c r="AC222" s="20">
        <f t="shared" si="31"/>
        <v>0.21</v>
      </c>
      <c r="AD222" s="10" t="s">
        <v>44</v>
      </c>
      <c r="AE222" s="10" t="s">
        <v>211</v>
      </c>
      <c r="AF222" s="10" t="s">
        <v>95</v>
      </c>
      <c r="AG222" s="10">
        <v>5</v>
      </c>
      <c r="AH222" s="10">
        <v>0</v>
      </c>
      <c r="AI222" s="27">
        <f t="shared" si="32"/>
        <v>1.2</v>
      </c>
      <c r="AJ222" s="27"/>
      <c r="AK222" s="10">
        <v>1</v>
      </c>
      <c r="AL222" s="10">
        <v>623</v>
      </c>
      <c r="AM222" s="19"/>
      <c r="AN222" s="19"/>
      <c r="AO222" s="19">
        <v>0.1109</v>
      </c>
      <c r="AP222" s="19">
        <v>0.80730000000000002</v>
      </c>
      <c r="AQ222" s="19">
        <f>Table1[[#This Row],[Y_Acryl_Fa]]/Table1[[#This Row],[Ratio_Ac_Fa]]</f>
        <v>1.7905914000000002E-2</v>
      </c>
      <c r="AR222" s="19">
        <f>Table1[[#This Row],[X_Fa]]*Table1[[#This Row],[S_Acryl_Fa]]</f>
        <v>8.9529570000000003E-2</v>
      </c>
      <c r="AS222" s="28">
        <f t="shared" si="33"/>
        <v>0.27032902561555083</v>
      </c>
      <c r="AT222" s="16"/>
      <c r="AU222" s="10" t="s">
        <v>155</v>
      </c>
      <c r="AV222" s="30"/>
      <c r="AW222" s="10" t="s">
        <v>111</v>
      </c>
      <c r="AX222" s="10">
        <v>2017</v>
      </c>
      <c r="AY222" s="10">
        <v>5</v>
      </c>
      <c r="AZ222" s="10"/>
      <c r="BA222" s="20">
        <v>0.25161987041036721</v>
      </c>
      <c r="BB222" s="20">
        <v>1.2580993520518362</v>
      </c>
      <c r="BC222" s="20">
        <f>BA222*60*AR222/AY222</f>
        <v>0.27032902561555078</v>
      </c>
      <c r="BD222" s="20">
        <f>BB222*60*AQ222/AY222</f>
        <v>0.27032902561555089</v>
      </c>
    </row>
    <row r="223" spans="1:56" s="18" customFormat="1" ht="15.6" customHeight="1">
      <c r="A223" s="10">
        <v>222</v>
      </c>
      <c r="B223" s="13"/>
      <c r="C223" s="10" t="s">
        <v>12</v>
      </c>
      <c r="D223" s="10"/>
      <c r="E223" s="27">
        <v>1</v>
      </c>
      <c r="F223" s="10"/>
      <c r="G223" s="10"/>
      <c r="H223" s="27"/>
      <c r="I223" s="10" t="s">
        <v>0</v>
      </c>
      <c r="J223" s="10"/>
      <c r="K223" s="10">
        <v>0.1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50">
        <v>204</v>
      </c>
      <c r="Z223" s="10">
        <v>218</v>
      </c>
      <c r="AA223" s="10" t="s">
        <v>3</v>
      </c>
      <c r="AB223" s="10" t="s">
        <v>311</v>
      </c>
      <c r="AC223" s="20">
        <v>0</v>
      </c>
      <c r="AD223" s="10" t="s">
        <v>196</v>
      </c>
      <c r="AE223" s="10" t="s">
        <v>211</v>
      </c>
      <c r="AF223" s="10" t="s">
        <v>209</v>
      </c>
      <c r="AG223" s="10">
        <v>5</v>
      </c>
      <c r="AH223" s="10">
        <v>1</v>
      </c>
      <c r="AI223" s="27">
        <f>0.1*60/4.656</f>
        <v>1.2886597938144331</v>
      </c>
      <c r="AJ223" s="27"/>
      <c r="AK223" s="10">
        <v>1</v>
      </c>
      <c r="AL223" s="10">
        <v>623</v>
      </c>
      <c r="AM223" s="19">
        <v>0.13919999999999999</v>
      </c>
      <c r="AN223" s="19">
        <v>0.43709999999999999</v>
      </c>
      <c r="AO223" s="19"/>
      <c r="AP223" s="19"/>
      <c r="AQ223" s="19">
        <f>Table1[[#This Row],[X_Ac]]*Table1[[#This Row],[S_Acryl_Ac]]</f>
        <v>6.0844319999999993E-2</v>
      </c>
      <c r="AR223" s="19">
        <f>Table1[[#This Row],[Y_Acryl_Ac]]*Table1[[#This Row],[Ratio_Ac_Fa]]</f>
        <v>0.30422159999999998</v>
      </c>
      <c r="AS223" s="28">
        <f t="shared" si="33"/>
        <v>0.71696151847717915</v>
      </c>
      <c r="AT223" s="16"/>
      <c r="AU223" s="10" t="s">
        <v>197</v>
      </c>
      <c r="AV223" s="30" t="s">
        <v>341</v>
      </c>
      <c r="AW223" s="10" t="s">
        <v>111</v>
      </c>
      <c r="AX223" s="10">
        <v>2017</v>
      </c>
      <c r="AY223" s="10">
        <v>4.6559999999999997</v>
      </c>
      <c r="AZ223" s="20">
        <v>0.18288055099910425</v>
      </c>
      <c r="BA223" s="20">
        <v>0.18288055099910425</v>
      </c>
      <c r="BB223" s="20">
        <v>0.91440275499552137</v>
      </c>
      <c r="BC223" s="20">
        <f>BA223*60*AR223/AY223</f>
        <v>0.71696151847717904</v>
      </c>
      <c r="BD223" s="20">
        <f>BB223*60*AQ223/AY223</f>
        <v>0.71696151847717915</v>
      </c>
    </row>
    <row r="224" spans="1:56" s="25" customFormat="1" ht="15.6" customHeight="1">
      <c r="A224" s="10">
        <v>223</v>
      </c>
      <c r="B224" s="43"/>
      <c r="C224" s="21" t="s">
        <v>12</v>
      </c>
      <c r="D224" s="21"/>
      <c r="E224" s="22">
        <v>1</v>
      </c>
      <c r="F224" s="21"/>
      <c r="G224" s="21"/>
      <c r="H224" s="22"/>
      <c r="I224" s="21" t="s">
        <v>0</v>
      </c>
      <c r="J224" s="21"/>
      <c r="K224" s="21">
        <v>0.1</v>
      </c>
      <c r="L224" s="21"/>
      <c r="M224" s="21" t="s">
        <v>7</v>
      </c>
      <c r="N224" s="21"/>
      <c r="O224" s="21">
        <v>0.03</v>
      </c>
      <c r="P224" s="21"/>
      <c r="Q224" s="21"/>
      <c r="R224" s="21"/>
      <c r="S224" s="21"/>
      <c r="T224" s="21"/>
      <c r="U224" s="21"/>
      <c r="V224" s="21"/>
      <c r="W224" s="21"/>
      <c r="X224" s="21"/>
      <c r="Y224" s="52">
        <v>199</v>
      </c>
      <c r="Z224" s="10">
        <v>218</v>
      </c>
      <c r="AA224" s="21" t="s">
        <v>3</v>
      </c>
      <c r="AB224" s="21" t="s">
        <v>311</v>
      </c>
      <c r="AC224" s="26">
        <v>0</v>
      </c>
      <c r="AD224" s="21" t="s">
        <v>196</v>
      </c>
      <c r="AE224" s="21" t="s">
        <v>211</v>
      </c>
      <c r="AF224" s="21" t="s">
        <v>209</v>
      </c>
      <c r="AG224" s="21">
        <v>5</v>
      </c>
      <c r="AH224" s="21">
        <v>1</v>
      </c>
      <c r="AI224" s="22">
        <f>0.1*60/4.656</f>
        <v>1.2886597938144331</v>
      </c>
      <c r="AJ224" s="22"/>
      <c r="AK224" s="21">
        <v>1</v>
      </c>
      <c r="AL224" s="21">
        <v>623</v>
      </c>
      <c r="AM224" s="23">
        <v>0.43709999999999999</v>
      </c>
      <c r="AN224" s="23">
        <v>0.57489999999999997</v>
      </c>
      <c r="AO224" s="23"/>
      <c r="AP224" s="23"/>
      <c r="AQ224" s="23">
        <f>Table1[[#This Row],[X_Ac]]*Table1[[#This Row],[S_Acryl_Ac]]</f>
        <v>0.25128878999999998</v>
      </c>
      <c r="AR224" s="23">
        <f>Table1[[#This Row],[Y_Acryl_Ac]]*Table1[[#This Row],[Ratio_Ac_Fa]]</f>
        <v>1.25644395</v>
      </c>
      <c r="AS224" s="24">
        <f t="shared" si="33"/>
        <v>2.9610716736532345</v>
      </c>
      <c r="AT224" s="35"/>
      <c r="AU224" s="21" t="s">
        <v>197</v>
      </c>
      <c r="AV224" s="37"/>
      <c r="AW224" s="21" t="s">
        <v>111</v>
      </c>
      <c r="AX224" s="21">
        <v>2017</v>
      </c>
      <c r="AY224" s="21">
        <v>4.6559999999999997</v>
      </c>
      <c r="AZ224" s="26">
        <v>0.18288055099910425</v>
      </c>
      <c r="BA224" s="26">
        <v>0.18288055099910425</v>
      </c>
      <c r="BB224" s="26">
        <v>0.91440275499552137</v>
      </c>
      <c r="BC224" s="26">
        <f>BA224*60*AR224/AY224</f>
        <v>2.9610716736532345</v>
      </c>
      <c r="BD224" s="26">
        <f>BB224*60*AQ224/AY224</f>
        <v>2.9610716736532345</v>
      </c>
    </row>
    <row r="225" spans="1:56" s="25" customFormat="1" ht="15.6" customHeight="1">
      <c r="A225" s="10">
        <v>224</v>
      </c>
      <c r="B225" s="13"/>
      <c r="C225" s="21" t="s">
        <v>12</v>
      </c>
      <c r="D225" s="21"/>
      <c r="E225" s="27">
        <v>1</v>
      </c>
      <c r="F225" s="21"/>
      <c r="G225" s="21"/>
      <c r="H225" s="27"/>
      <c r="I225" s="21" t="s">
        <v>0</v>
      </c>
      <c r="J225" s="21"/>
      <c r="K225" s="21">
        <v>0.1</v>
      </c>
      <c r="L225" s="21"/>
      <c r="M225" s="21" t="s">
        <v>7</v>
      </c>
      <c r="N225" s="21"/>
      <c r="O225" s="21">
        <v>0.03</v>
      </c>
      <c r="P225" s="21"/>
      <c r="Q225" s="21" t="s">
        <v>30</v>
      </c>
      <c r="R225" s="21"/>
      <c r="S225" s="21">
        <v>0.01</v>
      </c>
      <c r="T225" s="21"/>
      <c r="U225" s="21"/>
      <c r="V225" s="21"/>
      <c r="W225" s="21"/>
      <c r="X225" s="21"/>
      <c r="Y225" s="52">
        <v>198</v>
      </c>
      <c r="Z225" s="10">
        <v>218</v>
      </c>
      <c r="AA225" s="21" t="s">
        <v>3</v>
      </c>
      <c r="AB225" s="21" t="s">
        <v>311</v>
      </c>
      <c r="AC225" s="26">
        <v>0</v>
      </c>
      <c r="AD225" s="21" t="s">
        <v>196</v>
      </c>
      <c r="AE225" s="21" t="s">
        <v>211</v>
      </c>
      <c r="AF225" s="21" t="s">
        <v>209</v>
      </c>
      <c r="AG225" s="21">
        <v>5</v>
      </c>
      <c r="AH225" s="21">
        <v>1</v>
      </c>
      <c r="AI225" s="22">
        <f>0.1*60/4.656</f>
        <v>1.2886597938144331</v>
      </c>
      <c r="AJ225" s="22"/>
      <c r="AK225" s="21">
        <v>1</v>
      </c>
      <c r="AL225" s="21">
        <v>623</v>
      </c>
      <c r="AM225" s="23">
        <v>0.52270000000000005</v>
      </c>
      <c r="AN225" s="23">
        <v>0.60029999999999994</v>
      </c>
      <c r="AO225" s="23"/>
      <c r="AP225" s="23"/>
      <c r="AQ225" s="23">
        <f>Table1[[#This Row],[X_Ac]]*Table1[[#This Row],[S_Acryl_Ac]]</f>
        <v>0.31377681000000002</v>
      </c>
      <c r="AR225" s="23">
        <f>Table1[[#This Row],[Y_Acryl_Ac]]*Table1[[#This Row],[Ratio_Ac_Fa]]</f>
        <v>1.5688840500000001</v>
      </c>
      <c r="AS225" s="24">
        <f t="shared" si="33"/>
        <v>3.6974017979085865</v>
      </c>
      <c r="AT225" s="35">
        <v>1</v>
      </c>
      <c r="AU225" s="21" t="s">
        <v>197</v>
      </c>
      <c r="AV225" s="37" t="s">
        <v>251</v>
      </c>
      <c r="AW225" s="21" t="s">
        <v>111</v>
      </c>
      <c r="AX225" s="21">
        <v>2017</v>
      </c>
      <c r="AY225" s="21">
        <v>4.6559999999999997</v>
      </c>
      <c r="AZ225" s="26">
        <v>0.18288055099910425</v>
      </c>
      <c r="BA225" s="26">
        <v>0.18288055099910425</v>
      </c>
      <c r="BB225" s="26">
        <v>0.91440275499552137</v>
      </c>
      <c r="BC225" s="26">
        <f>BA225*60*AR225/AY225</f>
        <v>3.6974017979085865</v>
      </c>
      <c r="BD225" s="26">
        <f>BB225*60*AQ225/AY225</f>
        <v>3.6974017979085865</v>
      </c>
    </row>
    <row r="226" spans="1:56" s="18" customFormat="1">
      <c r="A226" s="10">
        <v>225</v>
      </c>
      <c r="B226" s="13">
        <v>1</v>
      </c>
      <c r="C226" s="10" t="s">
        <v>10</v>
      </c>
      <c r="D226" s="10">
        <v>1</v>
      </c>
      <c r="E226" s="27"/>
      <c r="F226" s="10" t="s">
        <v>12</v>
      </c>
      <c r="G226" s="10">
        <v>1</v>
      </c>
      <c r="H226" s="27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>
        <v>350</v>
      </c>
      <c r="Z226" s="10"/>
      <c r="AA226" s="10"/>
      <c r="AB226" s="10" t="s">
        <v>311</v>
      </c>
      <c r="AC226" s="20">
        <v>0</v>
      </c>
      <c r="AD226" s="10" t="s">
        <v>44</v>
      </c>
      <c r="AE226" s="10" t="s">
        <v>210</v>
      </c>
      <c r="AF226" s="10" t="s">
        <v>95</v>
      </c>
      <c r="AG226" s="10">
        <v>5</v>
      </c>
      <c r="AH226" s="10">
        <v>0</v>
      </c>
      <c r="AI226" s="27">
        <v>1.2</v>
      </c>
      <c r="AJ226" s="27"/>
      <c r="AK226" s="10">
        <v>1</v>
      </c>
      <c r="AL226" s="10">
        <v>643</v>
      </c>
      <c r="AM226" s="19"/>
      <c r="AN226" s="19"/>
      <c r="AO226" s="19">
        <v>0.30299999999999999</v>
      </c>
      <c r="AP226" s="19">
        <v>0.94599999999999995</v>
      </c>
      <c r="AQ226" s="19">
        <f>Table1[[#This Row],[Y_Acryl_Fa]]/Table1[[#This Row],[Ratio_Ac_Fa]]</f>
        <v>5.7327599999999999E-2</v>
      </c>
      <c r="AR226" s="19">
        <f>Table1[[#This Row],[X_Fa]]*Table1[[#This Row],[S_Acryl_Fa]]</f>
        <v>0.286638</v>
      </c>
      <c r="AS226" s="28">
        <f t="shared" si="33"/>
        <v>0.72891736022156584</v>
      </c>
      <c r="AT226" s="29"/>
      <c r="AU226" s="10" t="s">
        <v>55</v>
      </c>
      <c r="AV226" s="19"/>
      <c r="AW226" s="10" t="s">
        <v>111</v>
      </c>
      <c r="AX226" s="10">
        <v>2018</v>
      </c>
      <c r="AY226" s="10">
        <v>5</v>
      </c>
      <c r="AZ226" s="10"/>
      <c r="BA226" s="20">
        <v>0.21191577303706122</v>
      </c>
      <c r="BB226" s="20">
        <v>1.0595788651853062</v>
      </c>
      <c r="BC226" s="20">
        <f>BA226*60*AR226/AY226</f>
        <v>0.72891736022156584</v>
      </c>
      <c r="BD226" s="20">
        <f>BB226*60*AQ226/AY226</f>
        <v>0.72891736022156584</v>
      </c>
    </row>
    <row r="227" spans="1:56" s="18" customFormat="1">
      <c r="A227" s="10">
        <v>226</v>
      </c>
      <c r="B227" s="13"/>
      <c r="C227" s="10" t="s">
        <v>10</v>
      </c>
      <c r="D227" s="10">
        <v>1</v>
      </c>
      <c r="E227" s="27"/>
      <c r="F227" s="10" t="s">
        <v>12</v>
      </c>
      <c r="G227" s="10">
        <v>1</v>
      </c>
      <c r="H227" s="27"/>
      <c r="I227" s="10" t="s">
        <v>0</v>
      </c>
      <c r="J227" s="10"/>
      <c r="K227" s="10">
        <v>0.05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50"/>
      <c r="Z227" s="10">
        <v>350</v>
      </c>
      <c r="AA227" s="10" t="s">
        <v>148</v>
      </c>
      <c r="AB227" s="10" t="s">
        <v>311</v>
      </c>
      <c r="AC227" s="20">
        <v>0</v>
      </c>
      <c r="AD227" s="10" t="s">
        <v>44</v>
      </c>
      <c r="AE227" s="10" t="s">
        <v>210</v>
      </c>
      <c r="AF227" s="10" t="s">
        <v>95</v>
      </c>
      <c r="AG227" s="10">
        <v>5</v>
      </c>
      <c r="AH227" s="10">
        <v>0</v>
      </c>
      <c r="AI227" s="27">
        <v>1.2</v>
      </c>
      <c r="AJ227" s="27"/>
      <c r="AK227" s="10">
        <v>1</v>
      </c>
      <c r="AL227" s="10">
        <v>643</v>
      </c>
      <c r="AM227" s="19"/>
      <c r="AN227" s="19"/>
      <c r="AO227" s="19">
        <v>0.317</v>
      </c>
      <c r="AP227" s="19">
        <v>0.95</v>
      </c>
      <c r="AQ227" s="19">
        <f>Table1[[#This Row],[Y_Acryl_Fa]]/Table1[[#This Row],[Ratio_Ac_Fa]]</f>
        <v>6.0229999999999992E-2</v>
      </c>
      <c r="AR227" s="19">
        <f>Table1[[#This Row],[X_Fa]]*Table1[[#This Row],[S_Acryl_Fa]]</f>
        <v>0.30114999999999997</v>
      </c>
      <c r="AS227" s="28">
        <f t="shared" si="33"/>
        <v>0.76582122060133173</v>
      </c>
      <c r="AT227" s="29"/>
      <c r="AU227" s="10" t="s">
        <v>55</v>
      </c>
      <c r="AV227" s="19"/>
      <c r="AW227" s="10" t="s">
        <v>111</v>
      </c>
      <c r="AX227" s="10">
        <v>2018</v>
      </c>
      <c r="AY227" s="10">
        <v>5</v>
      </c>
      <c r="AZ227" s="10"/>
      <c r="BA227" s="20">
        <v>0.21191577303706122</v>
      </c>
      <c r="BB227" s="20">
        <v>1.0595788651853062</v>
      </c>
      <c r="BC227" s="20">
        <f>BA227*60*AR227/AY227</f>
        <v>0.76582122060133173</v>
      </c>
      <c r="BD227" s="20">
        <f>BB227*60*AQ227/AY227</f>
        <v>0.76582122060133184</v>
      </c>
    </row>
    <row r="228" spans="1:56" s="18" customFormat="1">
      <c r="A228" s="10">
        <v>227</v>
      </c>
      <c r="B228" s="13"/>
      <c r="C228" s="10" t="s">
        <v>10</v>
      </c>
      <c r="D228" s="10">
        <v>1</v>
      </c>
      <c r="E228" s="27"/>
      <c r="F228" s="10" t="s">
        <v>12</v>
      </c>
      <c r="G228" s="10">
        <v>1</v>
      </c>
      <c r="H228" s="27"/>
      <c r="I228" s="10" t="s">
        <v>0</v>
      </c>
      <c r="J228" s="10"/>
      <c r="K228" s="10">
        <v>0.15</v>
      </c>
      <c r="L228" s="10"/>
      <c r="M228" s="10" t="s">
        <v>7</v>
      </c>
      <c r="N228" s="10"/>
      <c r="O228" s="10">
        <v>7.0000000000000007E-2</v>
      </c>
      <c r="P228" s="10"/>
      <c r="Q228" s="10"/>
      <c r="R228" s="10"/>
      <c r="S228" s="10"/>
      <c r="T228" s="10"/>
      <c r="U228" s="10"/>
      <c r="V228" s="10"/>
      <c r="W228" s="10"/>
      <c r="X228" s="10"/>
      <c r="Y228" s="50"/>
      <c r="Z228" s="10">
        <v>350</v>
      </c>
      <c r="AA228" s="10" t="s">
        <v>148</v>
      </c>
      <c r="AB228" s="10" t="s">
        <v>311</v>
      </c>
      <c r="AC228" s="20">
        <v>0</v>
      </c>
      <c r="AD228" s="10" t="s">
        <v>44</v>
      </c>
      <c r="AE228" s="10" t="s">
        <v>210</v>
      </c>
      <c r="AF228" s="10" t="s">
        <v>95</v>
      </c>
      <c r="AG228" s="10">
        <v>5</v>
      </c>
      <c r="AH228" s="10">
        <v>0</v>
      </c>
      <c r="AI228" s="27">
        <v>1.2</v>
      </c>
      <c r="AJ228" s="27"/>
      <c r="AK228" s="10">
        <v>1</v>
      </c>
      <c r="AL228" s="10">
        <v>643</v>
      </c>
      <c r="AM228" s="19"/>
      <c r="AN228" s="19"/>
      <c r="AO228" s="19">
        <v>0.39500000000000002</v>
      </c>
      <c r="AP228" s="19">
        <v>0.97499999999999998</v>
      </c>
      <c r="AQ228" s="19">
        <f>Table1[[#This Row],[Y_Acryl_Fa]]/Table1[[#This Row],[Ratio_Ac_Fa]]</f>
        <v>7.7024999999999996E-2</v>
      </c>
      <c r="AR228" s="19">
        <f>Table1[[#This Row],[X_Fa]]*Table1[[#This Row],[S_Acryl_Fa]]</f>
        <v>0.385125</v>
      </c>
      <c r="AS228" s="28">
        <f t="shared" si="33"/>
        <v>0.97936874509077843</v>
      </c>
      <c r="AT228" s="29"/>
      <c r="AU228" s="10" t="s">
        <v>55</v>
      </c>
      <c r="AV228" s="19"/>
      <c r="AW228" s="10" t="s">
        <v>111</v>
      </c>
      <c r="AX228" s="10">
        <v>2018</v>
      </c>
      <c r="AY228" s="10">
        <v>5</v>
      </c>
      <c r="AZ228" s="10"/>
      <c r="BA228" s="20">
        <v>0.21191577303706122</v>
      </c>
      <c r="BB228" s="20">
        <v>1.0595788651853062</v>
      </c>
      <c r="BC228" s="20">
        <f>BA228*60*AR228/AY228</f>
        <v>0.97936874509077843</v>
      </c>
      <c r="BD228" s="20">
        <f>BB228*60*AQ228/AY228</f>
        <v>0.97936874509077843</v>
      </c>
    </row>
    <row r="229" spans="1:56" s="18" customFormat="1">
      <c r="A229" s="10">
        <v>228</v>
      </c>
      <c r="B229" s="13"/>
      <c r="C229" s="10" t="s">
        <v>10</v>
      </c>
      <c r="D229" s="10">
        <v>1</v>
      </c>
      <c r="E229" s="27"/>
      <c r="F229" s="10" t="s">
        <v>12</v>
      </c>
      <c r="G229" s="10">
        <v>1</v>
      </c>
      <c r="H229" s="27"/>
      <c r="I229" s="10" t="s">
        <v>7</v>
      </c>
      <c r="J229" s="10"/>
      <c r="K229" s="10">
        <v>7.0000000000000007E-2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50"/>
      <c r="Z229" s="10">
        <v>350</v>
      </c>
      <c r="AA229" s="10" t="s">
        <v>148</v>
      </c>
      <c r="AB229" s="10" t="s">
        <v>311</v>
      </c>
      <c r="AC229" s="20">
        <v>0</v>
      </c>
      <c r="AD229" s="10" t="s">
        <v>44</v>
      </c>
      <c r="AE229" s="10" t="s">
        <v>211</v>
      </c>
      <c r="AF229" s="10" t="s">
        <v>95</v>
      </c>
      <c r="AG229" s="10">
        <v>5</v>
      </c>
      <c r="AH229" s="10">
        <v>0</v>
      </c>
      <c r="AI229" s="27">
        <v>1.2</v>
      </c>
      <c r="AJ229" s="27"/>
      <c r="AK229" s="10">
        <v>1</v>
      </c>
      <c r="AL229" s="10">
        <v>643</v>
      </c>
      <c r="AM229" s="19">
        <v>8.7169441723800201E-2</v>
      </c>
      <c r="AN229" s="19">
        <f>Table1[[#This Row],[Y_Acryl_Ac]]/Table1[[#This Row],[X_Ac]]</f>
        <v>0.98658426966292123</v>
      </c>
      <c r="AO229" s="19">
        <f>Table1[[#This Row],[Y_Acryl_Fa]]/Table1[[#This Row],[S_Acryl_Fa]]</f>
        <v>0.43877551020408162</v>
      </c>
      <c r="AP229" s="19">
        <v>0.98</v>
      </c>
      <c r="AQ229" s="19">
        <f>Table1[[#This Row],[Y_Acryl_Fa]]/Table1[[#This Row],[Ratio_Ac_Fa]]</f>
        <v>8.5999999999999993E-2</v>
      </c>
      <c r="AR229" s="19">
        <v>0.43</v>
      </c>
      <c r="AS229" s="28">
        <f t="shared" si="33"/>
        <v>1.2983585313174948</v>
      </c>
      <c r="AT229" s="29" t="s">
        <v>239</v>
      </c>
      <c r="AU229" s="10" t="s">
        <v>55</v>
      </c>
      <c r="AV229" s="19"/>
      <c r="AW229" s="10" t="s">
        <v>111</v>
      </c>
      <c r="AX229" s="10">
        <v>2018</v>
      </c>
      <c r="AY229" s="10">
        <v>5</v>
      </c>
      <c r="AZ229" s="10"/>
      <c r="BA229" s="20">
        <v>0.25161987041036721</v>
      </c>
      <c r="BB229" s="20">
        <v>1.2580993520518362</v>
      </c>
      <c r="BC229" s="20">
        <f>BA229*60*AR229/AY229</f>
        <v>1.2983585313174948</v>
      </c>
      <c r="BD229" s="20">
        <f>BB229*60*AQ229/AY229</f>
        <v>1.2983585313174948</v>
      </c>
    </row>
    <row r="230" spans="1:56" s="18" customFormat="1">
      <c r="A230" s="10">
        <v>229</v>
      </c>
      <c r="B230" s="13"/>
      <c r="C230" s="10" t="s">
        <v>10</v>
      </c>
      <c r="D230" s="10">
        <v>1</v>
      </c>
      <c r="E230" s="27"/>
      <c r="F230" s="10" t="s">
        <v>12</v>
      </c>
      <c r="G230" s="10">
        <v>1</v>
      </c>
      <c r="H230" s="27"/>
      <c r="I230" s="10" t="s">
        <v>7</v>
      </c>
      <c r="J230" s="10"/>
      <c r="K230" s="10">
        <v>7.0000000000000007E-2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50"/>
      <c r="Z230" s="10">
        <v>350</v>
      </c>
      <c r="AA230" s="10" t="s">
        <v>148</v>
      </c>
      <c r="AB230" s="10" t="s">
        <v>311</v>
      </c>
      <c r="AC230" s="20">
        <v>0</v>
      </c>
      <c r="AD230" s="10" t="s">
        <v>44</v>
      </c>
      <c r="AE230" s="10" t="s">
        <v>210</v>
      </c>
      <c r="AF230" s="10" t="s">
        <v>95</v>
      </c>
      <c r="AG230" s="10">
        <v>5</v>
      </c>
      <c r="AH230" s="10">
        <v>0</v>
      </c>
      <c r="AI230" s="27">
        <v>1.2</v>
      </c>
      <c r="AJ230" s="27"/>
      <c r="AK230" s="10">
        <v>1</v>
      </c>
      <c r="AL230" s="10">
        <v>643</v>
      </c>
      <c r="AM230" s="19">
        <v>0.10908027489399034</v>
      </c>
      <c r="AN230" s="19">
        <f>Table1[[#This Row],[Y_Acryl_Ac]]/Table1[[#This Row],[X_Ac]]</f>
        <v>0.78841018766756032</v>
      </c>
      <c r="AO230" s="19">
        <f>Table1[[#This Row],[Y_Acryl_Fa]]/Table1[[#This Row],[S_Acryl_Fa]]</f>
        <v>0.44329896907216493</v>
      </c>
      <c r="AP230" s="19">
        <v>0.97</v>
      </c>
      <c r="AQ230" s="19">
        <f>Table1[[#This Row],[Y_Acryl_Fa]]/Table1[[#This Row],[Ratio_Ac_Fa]]</f>
        <v>8.5999999999999993E-2</v>
      </c>
      <c r="AR230" s="19">
        <v>0.43</v>
      </c>
      <c r="AS230" s="28">
        <f t="shared" si="33"/>
        <v>1.0934853888712359</v>
      </c>
      <c r="AT230" s="29" t="s">
        <v>238</v>
      </c>
      <c r="AU230" s="10" t="s">
        <v>55</v>
      </c>
      <c r="AV230" s="19"/>
      <c r="AW230" s="10" t="s">
        <v>111</v>
      </c>
      <c r="AX230" s="10">
        <v>2018</v>
      </c>
      <c r="AY230" s="10">
        <v>5</v>
      </c>
      <c r="AZ230" s="10"/>
      <c r="BA230" s="20">
        <v>0.21191577303706122</v>
      </c>
      <c r="BB230" s="20">
        <v>1.0595788651853062</v>
      </c>
      <c r="BC230" s="20">
        <f>BA230*60*AR230/AY230</f>
        <v>1.0934853888712357</v>
      </c>
      <c r="BD230" s="20">
        <f>BB230*60*AQ230/AY230</f>
        <v>1.0934853888712359</v>
      </c>
    </row>
    <row r="231" spans="1:56" s="18" customFormat="1" ht="15.6" customHeight="1">
      <c r="A231" s="10">
        <v>230</v>
      </c>
      <c r="B231" s="13"/>
      <c r="C231" s="10" t="s">
        <v>12</v>
      </c>
      <c r="D231" s="10">
        <v>8</v>
      </c>
      <c r="E231" s="27"/>
      <c r="F231" s="10" t="s">
        <v>7</v>
      </c>
      <c r="G231" s="10">
        <v>1</v>
      </c>
      <c r="H231" s="27"/>
      <c r="I231" s="10" t="s">
        <v>0</v>
      </c>
      <c r="J231" s="10"/>
      <c r="K231" s="10">
        <v>0.1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50">
        <v>245</v>
      </c>
      <c r="Z231" s="50">
        <v>327</v>
      </c>
      <c r="AA231" s="10" t="s">
        <v>153</v>
      </c>
      <c r="AB231" s="10" t="s">
        <v>311</v>
      </c>
      <c r="AC231" s="20">
        <v>0</v>
      </c>
      <c r="AD231" s="10" t="s">
        <v>44</v>
      </c>
      <c r="AE231" s="10" t="s">
        <v>211</v>
      </c>
      <c r="AF231" s="10" t="s">
        <v>208</v>
      </c>
      <c r="AG231" s="10">
        <v>0.5</v>
      </c>
      <c r="AH231" s="10">
        <v>1</v>
      </c>
      <c r="AI231" s="27">
        <f t="shared" ref="AI231:AI241" si="34">6/3.5</f>
        <v>1.7142857142857142</v>
      </c>
      <c r="AJ231" s="27"/>
      <c r="AK231" s="10">
        <v>1</v>
      </c>
      <c r="AL231" s="10">
        <v>643</v>
      </c>
      <c r="AM231" s="19">
        <f>Table1[[#This Row],[Y_Acryl_Ac]]/Table1[[#This Row],[S_Acryl_Ac]]</f>
        <v>0.24941176470588236</v>
      </c>
      <c r="AN231" s="19">
        <v>0.85</v>
      </c>
      <c r="AO231" s="19"/>
      <c r="AP231" s="19"/>
      <c r="AQ231" s="19">
        <v>0.21199999999999999</v>
      </c>
      <c r="AR231" s="19">
        <f>Table1[[#This Row],[Y_Acryl_Ac]]*Table1[[#This Row],[Ratio_Ac_Fa]]</f>
        <v>0.106</v>
      </c>
      <c r="AS231" s="28">
        <f t="shared" si="33"/>
        <v>2.2644038734332295</v>
      </c>
      <c r="AT231" s="29">
        <v>1</v>
      </c>
      <c r="AU231" s="10" t="s">
        <v>58</v>
      </c>
      <c r="AV231" s="19" t="s">
        <v>154</v>
      </c>
      <c r="AW231" s="10" t="s">
        <v>111</v>
      </c>
      <c r="AX231" s="10">
        <v>2022</v>
      </c>
      <c r="AY231" s="10">
        <v>3.5</v>
      </c>
      <c r="AZ231" s="10"/>
      <c r="BA231" s="20">
        <v>1.2461342070780352</v>
      </c>
      <c r="BB231" s="20">
        <v>0.62306710353901762</v>
      </c>
      <c r="BC231" s="20">
        <f>BA231*60*AR231/AY231</f>
        <v>2.2644038734332295</v>
      </c>
      <c r="BD231" s="20">
        <f>BB231*60*AQ231/AY231</f>
        <v>2.2644038734332295</v>
      </c>
    </row>
    <row r="232" spans="1:56" s="18" customFormat="1">
      <c r="A232" s="10">
        <v>231</v>
      </c>
      <c r="B232" s="13"/>
      <c r="C232" s="10" t="s">
        <v>12</v>
      </c>
      <c r="D232" s="10">
        <v>8</v>
      </c>
      <c r="E232" s="27"/>
      <c r="F232" s="10" t="s">
        <v>7</v>
      </c>
      <c r="G232" s="10">
        <v>1</v>
      </c>
      <c r="H232" s="27"/>
      <c r="I232" s="10" t="s">
        <v>0</v>
      </c>
      <c r="J232" s="10"/>
      <c r="K232" s="10">
        <v>0.1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50">
        <v>245</v>
      </c>
      <c r="Z232" s="50">
        <v>327</v>
      </c>
      <c r="AA232" s="10" t="s">
        <v>153</v>
      </c>
      <c r="AB232" s="10" t="s">
        <v>311</v>
      </c>
      <c r="AC232" s="20">
        <v>0</v>
      </c>
      <c r="AD232" s="10" t="s">
        <v>44</v>
      </c>
      <c r="AE232" s="10" t="s">
        <v>211</v>
      </c>
      <c r="AF232" s="10" t="s">
        <v>208</v>
      </c>
      <c r="AG232" s="10">
        <v>0.5</v>
      </c>
      <c r="AH232" s="10">
        <v>1</v>
      </c>
      <c r="AI232" s="27">
        <f t="shared" si="34"/>
        <v>1.7142857142857142</v>
      </c>
      <c r="AJ232" s="27"/>
      <c r="AK232" s="10">
        <v>1</v>
      </c>
      <c r="AL232" s="10">
        <v>663</v>
      </c>
      <c r="AM232" s="19">
        <f>Table1[[#This Row],[Y_Acryl_Ac]]/Table1[[#This Row],[S_Acryl_Ac]]</f>
        <v>0.25996621621621618</v>
      </c>
      <c r="AN232" s="19">
        <f>0.74/(1-0.145)</f>
        <v>0.86549707602339188</v>
      </c>
      <c r="AO232" s="19"/>
      <c r="AP232" s="19"/>
      <c r="AQ232" s="19">
        <v>0.22500000000000001</v>
      </c>
      <c r="AR232" s="19">
        <f>Table1[[#This Row],[Y_Acryl_Ac]]*Table1[[#This Row],[Ratio_Ac_Fa]]</f>
        <v>0.1125</v>
      </c>
      <c r="AS232" s="28">
        <f t="shared" si="33"/>
        <v>2.4032588279362161</v>
      </c>
      <c r="AT232" s="16"/>
      <c r="AU232" s="10" t="s">
        <v>58</v>
      </c>
      <c r="AV232" s="30"/>
      <c r="AW232" s="10" t="s">
        <v>111</v>
      </c>
      <c r="AX232" s="10">
        <v>2022</v>
      </c>
      <c r="AY232" s="10">
        <v>3.5</v>
      </c>
      <c r="AZ232" s="10"/>
      <c r="BA232" s="20">
        <v>1.2461342070780399</v>
      </c>
      <c r="BB232" s="20">
        <v>0.62306710353901795</v>
      </c>
      <c r="BC232" s="20">
        <f>BA232*60*AR232/AY232</f>
        <v>2.4032588279362201</v>
      </c>
      <c r="BD232" s="20">
        <f>BB232*60*AQ232/AY232</f>
        <v>2.4032588279362121</v>
      </c>
    </row>
    <row r="233" spans="1:56" s="18" customFormat="1">
      <c r="A233" s="10">
        <v>232</v>
      </c>
      <c r="B233" s="13"/>
      <c r="C233" s="10" t="s">
        <v>12</v>
      </c>
      <c r="D233" s="10">
        <v>8</v>
      </c>
      <c r="E233" s="27"/>
      <c r="F233" s="10" t="s">
        <v>7</v>
      </c>
      <c r="G233" s="10">
        <v>1</v>
      </c>
      <c r="H233" s="27"/>
      <c r="I233" s="10" t="s">
        <v>115</v>
      </c>
      <c r="J233" s="10"/>
      <c r="K233" s="10">
        <v>0.1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50"/>
      <c r="Z233" s="50">
        <v>327</v>
      </c>
      <c r="AA233" s="10" t="s">
        <v>153</v>
      </c>
      <c r="AB233" s="10" t="s">
        <v>311</v>
      </c>
      <c r="AC233" s="20">
        <v>0</v>
      </c>
      <c r="AD233" s="10" t="s">
        <v>44</v>
      </c>
      <c r="AE233" s="10" t="s">
        <v>211</v>
      </c>
      <c r="AF233" s="10" t="s">
        <v>208</v>
      </c>
      <c r="AG233" s="10">
        <v>0.5</v>
      </c>
      <c r="AH233" s="10">
        <v>1</v>
      </c>
      <c r="AI233" s="27">
        <f t="shared" si="34"/>
        <v>1.7142857142857142</v>
      </c>
      <c r="AJ233" s="27"/>
      <c r="AK233" s="10">
        <v>1</v>
      </c>
      <c r="AL233" s="10">
        <v>663</v>
      </c>
      <c r="AM233" s="19">
        <f>Table1[[#This Row],[Y_Acryl_Ac]]/Table1[[#This Row],[S_Acryl_Ac]]</f>
        <v>0.22231278195488721</v>
      </c>
      <c r="AN233" s="19">
        <f>0.665/(1-0.234)</f>
        <v>0.86814621409921677</v>
      </c>
      <c r="AO233" s="19"/>
      <c r="AP233" s="19"/>
      <c r="AQ233" s="19">
        <v>0.193</v>
      </c>
      <c r="AR233" s="19">
        <f>Table1[[#This Row],[Y_Acryl_Ac]]*Table1[[#This Row],[Ratio_Ac_Fa]]</f>
        <v>9.6500000000000002E-2</v>
      </c>
      <c r="AS233" s="28">
        <f t="shared" si="33"/>
        <v>2.0614620168519542</v>
      </c>
      <c r="AT233" s="16"/>
      <c r="AU233" s="10" t="s">
        <v>58</v>
      </c>
      <c r="AV233" s="30"/>
      <c r="AW233" s="10" t="s">
        <v>111</v>
      </c>
      <c r="AX233" s="10">
        <v>2022</v>
      </c>
      <c r="AY233" s="10">
        <v>3.5</v>
      </c>
      <c r="AZ233" s="10"/>
      <c r="BA233" s="20">
        <v>1.2461342070780399</v>
      </c>
      <c r="BB233" s="20">
        <v>0.62306710353901795</v>
      </c>
      <c r="BC233" s="20">
        <f>BA233*60*AR233/AY233</f>
        <v>2.0614620168519577</v>
      </c>
      <c r="BD233" s="20">
        <f>BB233*60*AQ233/AY233</f>
        <v>2.0614620168519506</v>
      </c>
    </row>
    <row r="234" spans="1:56" s="18" customFormat="1">
      <c r="A234" s="10">
        <v>233</v>
      </c>
      <c r="B234" s="13"/>
      <c r="C234" s="10" t="s">
        <v>12</v>
      </c>
      <c r="D234" s="10">
        <v>8</v>
      </c>
      <c r="E234" s="27"/>
      <c r="F234" s="10" t="s">
        <v>7</v>
      </c>
      <c r="G234" s="10">
        <v>1</v>
      </c>
      <c r="H234" s="27"/>
      <c r="I234" s="10" t="s">
        <v>86</v>
      </c>
      <c r="J234" s="10"/>
      <c r="K234" s="10">
        <v>0.1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50"/>
      <c r="Z234" s="50">
        <v>327</v>
      </c>
      <c r="AA234" s="10" t="s">
        <v>153</v>
      </c>
      <c r="AB234" s="10" t="s">
        <v>311</v>
      </c>
      <c r="AC234" s="20">
        <v>0</v>
      </c>
      <c r="AD234" s="10" t="s">
        <v>44</v>
      </c>
      <c r="AE234" s="10" t="s">
        <v>211</v>
      </c>
      <c r="AF234" s="10" t="s">
        <v>208</v>
      </c>
      <c r="AG234" s="10">
        <v>0.5</v>
      </c>
      <c r="AH234" s="10">
        <v>1</v>
      </c>
      <c r="AI234" s="27">
        <f t="shared" si="34"/>
        <v>1.7142857142857142</v>
      </c>
      <c r="AJ234" s="27"/>
      <c r="AK234" s="10">
        <v>1</v>
      </c>
      <c r="AL234" s="10">
        <v>663</v>
      </c>
      <c r="AM234" s="19">
        <f>Table1[[#This Row],[Y_Acryl_Ac]]/Table1[[#This Row],[S_Acryl_Ac]]</f>
        <v>0.19397840531561461</v>
      </c>
      <c r="AN234" s="19">
        <f>0.602/(1-0.325)</f>
        <v>0.89185185185185178</v>
      </c>
      <c r="AO234" s="19"/>
      <c r="AP234" s="19"/>
      <c r="AQ234" s="19">
        <v>0.17299999999999999</v>
      </c>
      <c r="AR234" s="19">
        <f>Table1[[#This Row],[Y_Acryl_Ac]]*Table1[[#This Row],[Ratio_Ac_Fa]]</f>
        <v>8.6499999999999994E-2</v>
      </c>
      <c r="AS234" s="28">
        <f t="shared" si="33"/>
        <v>1.8478390099242903</v>
      </c>
      <c r="AT234" s="16"/>
      <c r="AU234" s="10" t="s">
        <v>58</v>
      </c>
      <c r="AV234" s="30"/>
      <c r="AW234" s="10" t="s">
        <v>111</v>
      </c>
      <c r="AX234" s="10">
        <v>2022</v>
      </c>
      <c r="AY234" s="10">
        <v>3.5</v>
      </c>
      <c r="AZ234" s="10"/>
      <c r="BA234" s="20">
        <v>1.2461342070780399</v>
      </c>
      <c r="BB234" s="20">
        <v>0.62306710353901795</v>
      </c>
      <c r="BC234" s="20">
        <f>BA234*60*AR234/AY234</f>
        <v>1.8478390099242934</v>
      </c>
      <c r="BD234" s="20">
        <f>BB234*60*AQ234/AY234</f>
        <v>1.8478390099242874</v>
      </c>
    </row>
    <row r="235" spans="1:56" s="18" customFormat="1">
      <c r="A235" s="10">
        <v>234</v>
      </c>
      <c r="B235" s="13"/>
      <c r="C235" s="10" t="s">
        <v>12</v>
      </c>
      <c r="D235" s="10">
        <v>8</v>
      </c>
      <c r="E235" s="27"/>
      <c r="F235" s="10" t="s">
        <v>7</v>
      </c>
      <c r="G235" s="10">
        <v>1</v>
      </c>
      <c r="H235" s="27"/>
      <c r="I235" s="10" t="s">
        <v>37</v>
      </c>
      <c r="J235" s="10"/>
      <c r="K235" s="10">
        <v>0.1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50"/>
      <c r="Z235" s="50">
        <v>327</v>
      </c>
      <c r="AA235" s="10" t="s">
        <v>153</v>
      </c>
      <c r="AB235" s="10" t="s">
        <v>311</v>
      </c>
      <c r="AC235" s="20">
        <v>0</v>
      </c>
      <c r="AD235" s="10" t="s">
        <v>44</v>
      </c>
      <c r="AE235" s="10" t="s">
        <v>211</v>
      </c>
      <c r="AF235" s="10" t="s">
        <v>208</v>
      </c>
      <c r="AG235" s="10">
        <v>0.5</v>
      </c>
      <c r="AH235" s="10">
        <v>1</v>
      </c>
      <c r="AI235" s="27">
        <f t="shared" si="34"/>
        <v>1.7142857142857142</v>
      </c>
      <c r="AJ235" s="27"/>
      <c r="AK235" s="10">
        <v>1</v>
      </c>
      <c r="AL235" s="10">
        <v>663</v>
      </c>
      <c r="AM235" s="19">
        <f>Table1[[#This Row],[Y_Acryl_Ac]]/Table1[[#This Row],[S_Acryl_Ac]]</f>
        <v>0.2249215976331361</v>
      </c>
      <c r="AN235" s="19">
        <f>0.676/(1-0.251)</f>
        <v>0.90253671562082782</v>
      </c>
      <c r="AO235" s="19"/>
      <c r="AP235" s="19"/>
      <c r="AQ235" s="19">
        <v>0.20300000000000001</v>
      </c>
      <c r="AR235" s="19">
        <f>Table1[[#This Row],[Y_Acryl_Ac]]*Table1[[#This Row],[Ratio_Ac_Fa]]</f>
        <v>0.10150000000000001</v>
      </c>
      <c r="AS235" s="28">
        <f t="shared" si="33"/>
        <v>2.1682735203157861</v>
      </c>
      <c r="AT235" s="16"/>
      <c r="AU235" s="10" t="s">
        <v>58</v>
      </c>
      <c r="AV235" s="30"/>
      <c r="AW235" s="10" t="s">
        <v>111</v>
      </c>
      <c r="AX235" s="10">
        <v>2022</v>
      </c>
      <c r="AY235" s="10">
        <v>3.5</v>
      </c>
      <c r="AZ235" s="10"/>
      <c r="BA235" s="20">
        <v>1.2461342070780399</v>
      </c>
      <c r="BB235" s="20">
        <v>0.62306710353901795</v>
      </c>
      <c r="BC235" s="20">
        <f>BA235*60*AR235/AY235</f>
        <v>2.1682735203157897</v>
      </c>
      <c r="BD235" s="20">
        <f>BB235*60*AQ235/AY235</f>
        <v>2.1682735203157826</v>
      </c>
    </row>
    <row r="236" spans="1:56" s="18" customFormat="1">
      <c r="A236" s="10">
        <v>235</v>
      </c>
      <c r="B236" s="13"/>
      <c r="C236" s="10" t="s">
        <v>12</v>
      </c>
      <c r="D236" s="10">
        <v>8</v>
      </c>
      <c r="E236" s="27"/>
      <c r="F236" s="10" t="s">
        <v>7</v>
      </c>
      <c r="G236" s="10">
        <v>1</v>
      </c>
      <c r="H236" s="27"/>
      <c r="I236" s="10" t="s">
        <v>81</v>
      </c>
      <c r="J236" s="10"/>
      <c r="K236" s="10">
        <v>0.1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50"/>
      <c r="Z236" s="50">
        <v>327</v>
      </c>
      <c r="AA236" s="10" t="s">
        <v>153</v>
      </c>
      <c r="AB236" s="10" t="s">
        <v>311</v>
      </c>
      <c r="AC236" s="20">
        <v>0</v>
      </c>
      <c r="AD236" s="10" t="s">
        <v>44</v>
      </c>
      <c r="AE236" s="10" t="s">
        <v>211</v>
      </c>
      <c r="AF236" s="10" t="s">
        <v>208</v>
      </c>
      <c r="AG236" s="10">
        <v>0.5</v>
      </c>
      <c r="AH236" s="10">
        <v>1</v>
      </c>
      <c r="AI236" s="27">
        <f t="shared" si="34"/>
        <v>1.7142857142857142</v>
      </c>
      <c r="AJ236" s="27"/>
      <c r="AK236" s="10">
        <v>1</v>
      </c>
      <c r="AL236" s="10">
        <v>663</v>
      </c>
      <c r="AM236" s="19">
        <f>Table1[[#This Row],[Y_Acryl_Ac]]/Table1[[#This Row],[S_Acryl_Ac]]</f>
        <v>0.20173946957878316</v>
      </c>
      <c r="AN236" s="19">
        <f>0.641/(1-0.301)</f>
        <v>0.9170243204577968</v>
      </c>
      <c r="AO236" s="19"/>
      <c r="AP236" s="19"/>
      <c r="AQ236" s="19">
        <v>0.185</v>
      </c>
      <c r="AR236" s="19">
        <f>Table1[[#This Row],[Y_Acryl_Ac]]*Table1[[#This Row],[Ratio_Ac_Fa]]</f>
        <v>9.2499999999999999E-2</v>
      </c>
      <c r="AS236" s="28">
        <f t="shared" si="33"/>
        <v>1.9760128140808888</v>
      </c>
      <c r="AT236" s="16"/>
      <c r="AU236" s="10" t="s">
        <v>58</v>
      </c>
      <c r="AV236" s="30"/>
      <c r="AW236" s="10" t="s">
        <v>111</v>
      </c>
      <c r="AX236" s="10">
        <v>2022</v>
      </c>
      <c r="AY236" s="10">
        <v>3.5</v>
      </c>
      <c r="AZ236" s="10"/>
      <c r="BA236" s="20">
        <v>1.2461342070780399</v>
      </c>
      <c r="BB236" s="20">
        <v>0.62306710353901795</v>
      </c>
      <c r="BC236" s="20">
        <f>BA236*60*AR236/AY236</f>
        <v>1.9760128140808919</v>
      </c>
      <c r="BD236" s="20">
        <f>BB236*60*AQ236/AY236</f>
        <v>1.9760128140808855</v>
      </c>
    </row>
    <row r="237" spans="1:56" s="18" customFormat="1">
      <c r="A237" s="10">
        <v>236</v>
      </c>
      <c r="B237" s="13"/>
      <c r="C237" s="10" t="s">
        <v>12</v>
      </c>
      <c r="D237" s="10">
        <v>8</v>
      </c>
      <c r="E237" s="27"/>
      <c r="F237" s="10" t="s">
        <v>7</v>
      </c>
      <c r="G237" s="10">
        <v>1</v>
      </c>
      <c r="H237" s="27"/>
      <c r="I237" s="10" t="s">
        <v>80</v>
      </c>
      <c r="J237" s="10"/>
      <c r="K237" s="10">
        <v>0.1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50"/>
      <c r="Z237" s="50">
        <v>327</v>
      </c>
      <c r="AA237" s="10" t="s">
        <v>153</v>
      </c>
      <c r="AB237" s="10" t="s">
        <v>311</v>
      </c>
      <c r="AC237" s="20">
        <v>0</v>
      </c>
      <c r="AD237" s="10" t="s">
        <v>44</v>
      </c>
      <c r="AE237" s="10" t="s">
        <v>211</v>
      </c>
      <c r="AF237" s="10" t="s">
        <v>208</v>
      </c>
      <c r="AG237" s="10">
        <v>0.5</v>
      </c>
      <c r="AH237" s="10">
        <v>1</v>
      </c>
      <c r="AI237" s="27">
        <f t="shared" si="34"/>
        <v>1.7142857142857142</v>
      </c>
      <c r="AJ237" s="27"/>
      <c r="AK237" s="10">
        <v>1</v>
      </c>
      <c r="AL237" s="10">
        <v>663</v>
      </c>
      <c r="AM237" s="19">
        <f>Table1[[#This Row],[Y_Acryl_Ac]]/Table1[[#This Row],[S_Acryl_Ac]]</f>
        <v>0.19064093959731546</v>
      </c>
      <c r="AN237" s="19">
        <f>0.596/(1-0.347)</f>
        <v>0.91271056661562011</v>
      </c>
      <c r="AO237" s="19"/>
      <c r="AP237" s="19"/>
      <c r="AQ237" s="19">
        <v>0.17399999999999999</v>
      </c>
      <c r="AR237" s="19">
        <f>Table1[[#This Row],[Y_Acryl_Ac]]*Table1[[#This Row],[Ratio_Ac_Fa]]</f>
        <v>8.6999999999999994E-2</v>
      </c>
      <c r="AS237" s="28">
        <f t="shared" si="33"/>
        <v>1.8585201602706736</v>
      </c>
      <c r="AT237" s="16"/>
      <c r="AU237" s="10" t="s">
        <v>58</v>
      </c>
      <c r="AV237" s="30"/>
      <c r="AW237" s="10" t="s">
        <v>111</v>
      </c>
      <c r="AX237" s="10">
        <v>2022</v>
      </c>
      <c r="AY237" s="10">
        <v>3.5</v>
      </c>
      <c r="AZ237" s="10"/>
      <c r="BA237" s="20">
        <v>1.2461342070780399</v>
      </c>
      <c r="BB237" s="20">
        <v>0.62306710353901795</v>
      </c>
      <c r="BC237" s="20">
        <f>BA237*60*AR237/AY237</f>
        <v>1.8585201602706767</v>
      </c>
      <c r="BD237" s="20">
        <f>BB237*60*AQ237/AY237</f>
        <v>1.8585201602706705</v>
      </c>
    </row>
    <row r="238" spans="1:56" s="18" customFormat="1">
      <c r="A238" s="10">
        <v>237</v>
      </c>
      <c r="B238" s="13">
        <v>1</v>
      </c>
      <c r="C238" s="10" t="s">
        <v>12</v>
      </c>
      <c r="D238" s="10">
        <v>8</v>
      </c>
      <c r="E238" s="27"/>
      <c r="F238" s="10" t="s">
        <v>7</v>
      </c>
      <c r="G238" s="10">
        <v>1</v>
      </c>
      <c r="H238" s="27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50">
        <v>327</v>
      </c>
      <c r="Z238" s="10"/>
      <c r="AA238" s="10" t="s">
        <v>153</v>
      </c>
      <c r="AB238" s="10" t="s">
        <v>311</v>
      </c>
      <c r="AC238" s="20">
        <v>0</v>
      </c>
      <c r="AD238" s="10" t="s">
        <v>44</v>
      </c>
      <c r="AE238" s="10" t="s">
        <v>211</v>
      </c>
      <c r="AF238" s="10" t="s">
        <v>208</v>
      </c>
      <c r="AG238" s="10">
        <v>0.5</v>
      </c>
      <c r="AH238" s="10">
        <v>1</v>
      </c>
      <c r="AI238" s="27">
        <f t="shared" si="34"/>
        <v>1.7142857142857142</v>
      </c>
      <c r="AJ238" s="27"/>
      <c r="AK238" s="10">
        <v>1</v>
      </c>
      <c r="AL238" s="10">
        <v>663</v>
      </c>
      <c r="AM238" s="19">
        <f>Table1[[#This Row],[Y_Acryl_Ac]]/Table1[[#This Row],[S_Acryl_Ac]]</f>
        <v>0.14889123548046462</v>
      </c>
      <c r="AN238" s="19">
        <v>0.94699999999999995</v>
      </c>
      <c r="AO238" s="19"/>
      <c r="AP238" s="19"/>
      <c r="AQ238" s="19">
        <v>0.14099999999999999</v>
      </c>
      <c r="AR238" s="19">
        <f>Table1[[#This Row],[Y_Acryl_Ac]]*Table1[[#This Row],[Ratio_Ac_Fa]]</f>
        <v>7.0499999999999993E-2</v>
      </c>
      <c r="AS238" s="28">
        <f t="shared" si="33"/>
        <v>1.5060421988400254</v>
      </c>
      <c r="AT238" s="16"/>
      <c r="AU238" s="10" t="s">
        <v>58</v>
      </c>
      <c r="AV238" s="30"/>
      <c r="AW238" s="10" t="s">
        <v>111</v>
      </c>
      <c r="AX238" s="10">
        <v>2022</v>
      </c>
      <c r="AY238" s="10">
        <v>3.5</v>
      </c>
      <c r="AZ238" s="10"/>
      <c r="BA238" s="20">
        <v>1.2461342070780352</v>
      </c>
      <c r="BB238" s="20">
        <v>0.62306710353901762</v>
      </c>
      <c r="BC238" s="20">
        <f>BA238*60*AR238/AY238</f>
        <v>1.5060421988400254</v>
      </c>
      <c r="BD238" s="20">
        <f>BB238*60*AQ238/AY238</f>
        <v>1.5060421988400254</v>
      </c>
    </row>
    <row r="239" spans="1:56" s="18" customFormat="1" ht="15.6" customHeight="1">
      <c r="A239" s="10">
        <v>238</v>
      </c>
      <c r="B239" s="13">
        <v>1</v>
      </c>
      <c r="C239" s="10" t="s">
        <v>12</v>
      </c>
      <c r="D239" s="10">
        <v>1</v>
      </c>
      <c r="E239" s="27"/>
      <c r="F239" s="10" t="s">
        <v>7</v>
      </c>
      <c r="G239" s="10">
        <v>1</v>
      </c>
      <c r="H239" s="27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50">
        <v>126</v>
      </c>
      <c r="Z239" s="10"/>
      <c r="AA239" s="10" t="s">
        <v>153</v>
      </c>
      <c r="AB239" s="10" t="s">
        <v>311</v>
      </c>
      <c r="AC239" s="20">
        <v>0</v>
      </c>
      <c r="AD239" s="10" t="s">
        <v>44</v>
      </c>
      <c r="AE239" s="10" t="s">
        <v>211</v>
      </c>
      <c r="AF239" s="10" t="s">
        <v>208</v>
      </c>
      <c r="AG239" s="10">
        <v>0.5</v>
      </c>
      <c r="AH239" s="10">
        <v>1</v>
      </c>
      <c r="AI239" s="27">
        <f t="shared" si="34"/>
        <v>1.7142857142857142</v>
      </c>
      <c r="AJ239" s="27"/>
      <c r="AK239" s="10">
        <v>1</v>
      </c>
      <c r="AL239" s="10">
        <v>663</v>
      </c>
      <c r="AM239" s="19">
        <f>Table1[[#This Row],[Y_Acryl_Ac]]/Table1[[#This Row],[S_Acryl_Ac]]</f>
        <v>0.11149075738125801</v>
      </c>
      <c r="AN239" s="19">
        <f>0.779/(1-0.201)</f>
        <v>0.97496871088861092</v>
      </c>
      <c r="AO239" s="19"/>
      <c r="AP239" s="19"/>
      <c r="AQ239" s="19">
        <v>0.1087</v>
      </c>
      <c r="AR239" s="19">
        <f>Table1[[#This Row],[Y_Acryl_Ac]]*Table1[[#This Row],[Ratio_Ac_Fa]]</f>
        <v>5.4350000000000002E-2</v>
      </c>
      <c r="AS239" s="28">
        <f t="shared" si="33"/>
        <v>1.1610410426518494</v>
      </c>
      <c r="AT239" s="16"/>
      <c r="AU239" s="10" t="s">
        <v>58</v>
      </c>
      <c r="AV239" s="30"/>
      <c r="AW239" s="10" t="s">
        <v>111</v>
      </c>
      <c r="AX239" s="10">
        <v>2022</v>
      </c>
      <c r="AY239" s="10">
        <v>3.5</v>
      </c>
      <c r="AZ239" s="10"/>
      <c r="BA239" s="20">
        <v>1.2461342070780352</v>
      </c>
      <c r="BB239" s="20">
        <v>0.62306710353901762</v>
      </c>
      <c r="BC239" s="20">
        <f>BA239*60*AR239/AY239</f>
        <v>1.1610410426518494</v>
      </c>
      <c r="BD239" s="20">
        <f>BB239*60*AQ239/AY239</f>
        <v>1.1610410426518494</v>
      </c>
    </row>
    <row r="240" spans="1:56" s="18" customFormat="1" ht="15.6" customHeight="1">
      <c r="A240" s="10">
        <v>239</v>
      </c>
      <c r="B240" s="13">
        <v>1</v>
      </c>
      <c r="C240" s="10" t="s">
        <v>12</v>
      </c>
      <c r="D240" s="10">
        <v>1</v>
      </c>
      <c r="E240" s="27"/>
      <c r="F240" s="10" t="s">
        <v>7</v>
      </c>
      <c r="G240" s="10">
        <v>1</v>
      </c>
      <c r="H240" s="27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50">
        <v>1.9</v>
      </c>
      <c r="Z240" s="10"/>
      <c r="AA240" s="10" t="s">
        <v>153</v>
      </c>
      <c r="AB240" s="10" t="s">
        <v>311</v>
      </c>
      <c r="AC240" s="20">
        <v>0</v>
      </c>
      <c r="AD240" s="10" t="s">
        <v>44</v>
      </c>
      <c r="AE240" s="10" t="s">
        <v>211</v>
      </c>
      <c r="AF240" s="10" t="s">
        <v>208</v>
      </c>
      <c r="AG240" s="10">
        <v>0.5</v>
      </c>
      <c r="AH240" s="10">
        <v>1</v>
      </c>
      <c r="AI240" s="27">
        <f t="shared" si="34"/>
        <v>1.7142857142857142</v>
      </c>
      <c r="AJ240" s="27"/>
      <c r="AK240" s="10">
        <v>1</v>
      </c>
      <c r="AL240" s="10">
        <v>663</v>
      </c>
      <c r="AM240" s="19">
        <v>0</v>
      </c>
      <c r="AN240" s="19">
        <v>0</v>
      </c>
      <c r="AO240" s="19"/>
      <c r="AP240" s="19"/>
      <c r="AQ240" s="19">
        <f>0</f>
        <v>0</v>
      </c>
      <c r="AR240" s="19">
        <f>Table1[[#This Row],[Y_Acryl_Ac]]*Table1[[#This Row],[Ratio_Ac_Fa]]</f>
        <v>0</v>
      </c>
      <c r="AS240" s="28">
        <f t="shared" ref="AS240:AS271" si="35">AVERAGE(BC240:BD240)</f>
        <v>0</v>
      </c>
      <c r="AT240" s="16"/>
      <c r="AU240" s="10" t="s">
        <v>58</v>
      </c>
      <c r="AV240" s="30"/>
      <c r="AW240" s="10" t="s">
        <v>111</v>
      </c>
      <c r="AX240" s="10">
        <v>2022</v>
      </c>
      <c r="AY240" s="10">
        <v>3.5</v>
      </c>
      <c r="AZ240" s="10"/>
      <c r="BA240" s="20">
        <v>1.2461342070780352</v>
      </c>
      <c r="BB240" s="20">
        <v>0.62306710353901762</v>
      </c>
      <c r="BC240" s="20">
        <f>BA240*60*AR240/AY240</f>
        <v>0</v>
      </c>
      <c r="BD240" s="20">
        <f>BB240*60*AQ240/AY240</f>
        <v>0</v>
      </c>
    </row>
    <row r="241" spans="1:56" s="18" customFormat="1" ht="15.6" customHeight="1">
      <c r="A241" s="10">
        <v>240</v>
      </c>
      <c r="B241" s="13">
        <v>1</v>
      </c>
      <c r="C241" s="10" t="s">
        <v>12</v>
      </c>
      <c r="D241" s="10"/>
      <c r="E241" s="27">
        <v>1</v>
      </c>
      <c r="F241" s="10"/>
      <c r="G241" s="10"/>
      <c r="H241" s="27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50">
        <v>246</v>
      </c>
      <c r="Z241" s="10">
        <v>250</v>
      </c>
      <c r="AA241" s="10" t="s">
        <v>153</v>
      </c>
      <c r="AB241" s="10" t="s">
        <v>311</v>
      </c>
      <c r="AC241" s="20">
        <v>0</v>
      </c>
      <c r="AD241" s="10" t="s">
        <v>44</v>
      </c>
      <c r="AE241" s="10" t="s">
        <v>211</v>
      </c>
      <c r="AF241" s="10" t="s">
        <v>208</v>
      </c>
      <c r="AG241" s="10">
        <v>0.5</v>
      </c>
      <c r="AH241" s="10">
        <v>1</v>
      </c>
      <c r="AI241" s="27">
        <f t="shared" si="34"/>
        <v>1.7142857142857142</v>
      </c>
      <c r="AJ241" s="27"/>
      <c r="AK241" s="10">
        <v>1</v>
      </c>
      <c r="AL241" s="10">
        <v>663</v>
      </c>
      <c r="AM241" s="19">
        <f>Table1[[#This Row],[Y_Acryl_Ac]]/Table1[[#This Row],[S_Acryl_Ac]]</f>
        <v>0.11821086261980832</v>
      </c>
      <c r="AN241" s="19">
        <v>0.93899999999999995</v>
      </c>
      <c r="AO241" s="19"/>
      <c r="AP241" s="19"/>
      <c r="AQ241" s="19">
        <v>0.111</v>
      </c>
      <c r="AR241" s="19">
        <f>Table1[[#This Row],[Y_Acryl_Ac]]*Table1[[#This Row],[Ratio_Ac_Fa]]</f>
        <v>5.5500000000000001E-2</v>
      </c>
      <c r="AS241" s="28">
        <f t="shared" si="35"/>
        <v>1.1856076884485307</v>
      </c>
      <c r="AT241" s="16"/>
      <c r="AU241" s="10" t="s">
        <v>58</v>
      </c>
      <c r="AV241" s="30"/>
      <c r="AW241" s="10" t="s">
        <v>111</v>
      </c>
      <c r="AX241" s="10">
        <v>2022</v>
      </c>
      <c r="AY241" s="10">
        <v>3.5</v>
      </c>
      <c r="AZ241" s="10"/>
      <c r="BA241" s="20">
        <v>1.2461342070780352</v>
      </c>
      <c r="BB241" s="20">
        <v>0.62306710353901762</v>
      </c>
      <c r="BC241" s="20">
        <f>BA241*60*AR241/AY241</f>
        <v>1.1856076884485307</v>
      </c>
      <c r="BD241" s="20">
        <f>BB241*60*AQ241/AY241</f>
        <v>1.1856076884485307</v>
      </c>
    </row>
    <row r="242" spans="1:56" s="18" customFormat="1" ht="15.6" customHeight="1">
      <c r="A242" s="10">
        <v>241</v>
      </c>
      <c r="B242" s="13">
        <v>1</v>
      </c>
      <c r="C242" s="10" t="s">
        <v>10</v>
      </c>
      <c r="D242" s="10"/>
      <c r="E242" s="27">
        <v>1</v>
      </c>
      <c r="F242" s="10"/>
      <c r="G242" s="10"/>
      <c r="H242" s="27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50">
        <v>240</v>
      </c>
      <c r="Z242" s="10"/>
      <c r="AA242" s="10"/>
      <c r="AB242" s="10">
        <v>0</v>
      </c>
      <c r="AC242" s="20">
        <v>0</v>
      </c>
      <c r="AD242" s="10" t="s">
        <v>44</v>
      </c>
      <c r="AE242" s="10" t="s">
        <v>211</v>
      </c>
      <c r="AF242" s="10" t="s">
        <v>208</v>
      </c>
      <c r="AG242" s="10">
        <v>1</v>
      </c>
      <c r="AH242" s="10">
        <v>2</v>
      </c>
      <c r="AI242" s="27">
        <f t="shared" ref="AI242:AI248" si="36">0.6*6/3</f>
        <v>1.2</v>
      </c>
      <c r="AJ242" s="27"/>
      <c r="AK242" s="10">
        <v>1</v>
      </c>
      <c r="AL242" s="10">
        <v>628</v>
      </c>
      <c r="AM242" s="19">
        <v>5.7999999999999996E-3</v>
      </c>
      <c r="AN242" s="19">
        <v>0.1497</v>
      </c>
      <c r="AO242" s="19"/>
      <c r="AP242" s="19"/>
      <c r="AQ242" s="19">
        <f>Table1[[#This Row],[X_Ac]]*Table1[[#This Row],[S_Acryl_Ac]]</f>
        <v>8.6825999999999993E-4</v>
      </c>
      <c r="AR242" s="19">
        <f>Table1[[#This Row],[Y_Acryl_Ac]]*Table1[[#This Row],[Ratio_Ac_Fa]]</f>
        <v>8.6825999999999993E-4</v>
      </c>
      <c r="AS242" s="28">
        <f t="shared" si="35"/>
        <v>6.4918109198254482E-3</v>
      </c>
      <c r="AT242" s="29"/>
      <c r="AU242" s="10" t="s">
        <v>49</v>
      </c>
      <c r="AV242" s="19" t="s">
        <v>152</v>
      </c>
      <c r="AW242" s="10" t="s">
        <v>111</v>
      </c>
      <c r="AX242" s="10">
        <v>2022</v>
      </c>
      <c r="AY242" s="10">
        <v>3</v>
      </c>
      <c r="AZ242" s="20">
        <v>0.74768052424682108</v>
      </c>
      <c r="BA242" s="20">
        <v>0.37384026212341054</v>
      </c>
      <c r="BB242" s="20">
        <v>0.37384026212341054</v>
      </c>
      <c r="BC242" s="20">
        <f>BA242*60*AR242/AY242</f>
        <v>6.4918109198254482E-3</v>
      </c>
      <c r="BD242" s="20">
        <f>BB242*60*AQ242/AY242</f>
        <v>6.4918109198254482E-3</v>
      </c>
    </row>
    <row r="243" spans="1:56" s="18" customFormat="1" ht="15.6" customHeight="1">
      <c r="A243" s="10">
        <v>242</v>
      </c>
      <c r="B243" s="13"/>
      <c r="C243" s="10" t="s">
        <v>10</v>
      </c>
      <c r="D243" s="10"/>
      <c r="E243" s="27">
        <v>1</v>
      </c>
      <c r="F243" s="10"/>
      <c r="G243" s="10"/>
      <c r="H243" s="27"/>
      <c r="I243" s="10" t="s">
        <v>12</v>
      </c>
      <c r="J243" s="10"/>
      <c r="K243" s="10"/>
      <c r="L243" s="10">
        <v>0.03</v>
      </c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50">
        <v>290</v>
      </c>
      <c r="Z243" s="10">
        <v>240</v>
      </c>
      <c r="AA243" s="10" t="s">
        <v>3</v>
      </c>
      <c r="AB243" s="10">
        <v>0</v>
      </c>
      <c r="AC243" s="20">
        <v>0</v>
      </c>
      <c r="AD243" s="10" t="s">
        <v>44</v>
      </c>
      <c r="AE243" s="10" t="s">
        <v>211</v>
      </c>
      <c r="AF243" s="10" t="s">
        <v>208</v>
      </c>
      <c r="AG243" s="10">
        <v>1</v>
      </c>
      <c r="AH243" s="10">
        <v>2</v>
      </c>
      <c r="AI243" s="27">
        <f t="shared" si="36"/>
        <v>1.2</v>
      </c>
      <c r="AJ243" s="27"/>
      <c r="AK243" s="10">
        <v>1</v>
      </c>
      <c r="AL243" s="10">
        <v>628</v>
      </c>
      <c r="AM243" s="19">
        <v>5.6800000000000003E-2</v>
      </c>
      <c r="AN243" s="19">
        <v>0.89359999999999995</v>
      </c>
      <c r="AO243" s="19"/>
      <c r="AP243" s="19"/>
      <c r="AQ243" s="19">
        <f>Table1[[#This Row],[X_Ac]]*Table1[[#This Row],[S_Acryl_Ac]]</f>
        <v>5.075648E-2</v>
      </c>
      <c r="AR243" s="19">
        <f>Table1[[#This Row],[Y_Acryl_Ac]]*Table1[[#This Row],[Ratio_Ac_Fa]]</f>
        <v>5.075648E-2</v>
      </c>
      <c r="AS243" s="28">
        <f t="shared" si="35"/>
        <v>0.37949631575323289</v>
      </c>
      <c r="AT243" s="29"/>
      <c r="AU243" s="10" t="s">
        <v>49</v>
      </c>
      <c r="AV243" s="19"/>
      <c r="AW243" s="10" t="s">
        <v>111</v>
      </c>
      <c r="AX243" s="10">
        <v>2022</v>
      </c>
      <c r="AY243" s="10">
        <v>3</v>
      </c>
      <c r="AZ243" s="20">
        <v>0.74768052424682108</v>
      </c>
      <c r="BA243" s="20">
        <v>0.37384026212341054</v>
      </c>
      <c r="BB243" s="20">
        <v>0.37384026212341054</v>
      </c>
      <c r="BC243" s="20">
        <f>BA243*60*AR243/AY243</f>
        <v>0.37949631575323289</v>
      </c>
      <c r="BD243" s="20">
        <f>BB243*60*AQ243/AY243</f>
        <v>0.37949631575323289</v>
      </c>
    </row>
    <row r="244" spans="1:56" s="18" customFormat="1" ht="15.6" customHeight="1">
      <c r="A244" s="10">
        <v>243</v>
      </c>
      <c r="B244" s="13"/>
      <c r="C244" s="10" t="s">
        <v>10</v>
      </c>
      <c r="D244" s="10"/>
      <c r="E244" s="27">
        <v>1</v>
      </c>
      <c r="F244" s="10"/>
      <c r="G244" s="10"/>
      <c r="H244" s="27"/>
      <c r="I244" s="10" t="s">
        <v>12</v>
      </c>
      <c r="J244" s="10"/>
      <c r="K244" s="10"/>
      <c r="L244" s="10">
        <v>0.03</v>
      </c>
      <c r="M244" s="10" t="s">
        <v>0</v>
      </c>
      <c r="N244" s="10"/>
      <c r="O244" s="10"/>
      <c r="P244" s="10">
        <v>0.1</v>
      </c>
      <c r="Q244" s="10"/>
      <c r="R244" s="10"/>
      <c r="S244" s="10"/>
      <c r="T244" s="10"/>
      <c r="U244" s="10"/>
      <c r="V244" s="10"/>
      <c r="W244" s="10"/>
      <c r="X244" s="10"/>
      <c r="Y244" s="50">
        <v>249</v>
      </c>
      <c r="Z244" s="10">
        <v>240</v>
      </c>
      <c r="AA244" s="10" t="s">
        <v>3</v>
      </c>
      <c r="AB244" s="10">
        <v>0</v>
      </c>
      <c r="AC244" s="20">
        <v>0</v>
      </c>
      <c r="AD244" s="10" t="s">
        <v>44</v>
      </c>
      <c r="AE244" s="10" t="s">
        <v>211</v>
      </c>
      <c r="AF244" s="10" t="s">
        <v>208</v>
      </c>
      <c r="AG244" s="10">
        <v>1</v>
      </c>
      <c r="AH244" s="10">
        <v>2</v>
      </c>
      <c r="AI244" s="27">
        <f t="shared" si="36"/>
        <v>1.2</v>
      </c>
      <c r="AJ244" s="27"/>
      <c r="AK244" s="10">
        <v>1</v>
      </c>
      <c r="AL244" s="10">
        <v>628</v>
      </c>
      <c r="AM244" s="19">
        <f>Table1[[#This Row],[Y_Acryl_Ac]]/Table1[[#This Row],[S_Acryl_Ac]]</f>
        <v>0.23883448770002388</v>
      </c>
      <c r="AN244" s="19">
        <v>0.83740000000000003</v>
      </c>
      <c r="AO244" s="19"/>
      <c r="AP244" s="19"/>
      <c r="AQ244" s="19">
        <v>0.2</v>
      </c>
      <c r="AR244" s="19">
        <f>Table1[[#This Row],[Y_Acryl_Ac]]*Table1[[#This Row],[Ratio_Ac_Fa]]</f>
        <v>0.2</v>
      </c>
      <c r="AS244" s="28">
        <f t="shared" si="35"/>
        <v>1.4953610484936422</v>
      </c>
      <c r="AT244" s="29">
        <v>1</v>
      </c>
      <c r="AU244" s="10" t="s">
        <v>49</v>
      </c>
      <c r="AV244" s="19"/>
      <c r="AW244" s="10" t="s">
        <v>111</v>
      </c>
      <c r="AX244" s="10">
        <v>2022</v>
      </c>
      <c r="AY244" s="10">
        <v>3</v>
      </c>
      <c r="AZ244" s="20">
        <v>0.74768052424682108</v>
      </c>
      <c r="BA244" s="20">
        <v>0.37384026212341054</v>
      </c>
      <c r="BB244" s="20">
        <v>0.37384026212341054</v>
      </c>
      <c r="BC244" s="20">
        <f>BA244*60*AR244/AY244</f>
        <v>1.4953610484936422</v>
      </c>
      <c r="BD244" s="20">
        <f>BB244*60*AQ244/AY244</f>
        <v>1.4953610484936422</v>
      </c>
    </row>
    <row r="245" spans="1:56" s="18" customFormat="1" ht="15.6" customHeight="1">
      <c r="A245" s="10">
        <v>244</v>
      </c>
      <c r="B245" s="13"/>
      <c r="C245" s="10" t="s">
        <v>10</v>
      </c>
      <c r="D245" s="10"/>
      <c r="E245" s="27">
        <v>1</v>
      </c>
      <c r="F245" s="10"/>
      <c r="G245" s="10"/>
      <c r="H245" s="27"/>
      <c r="I245" s="10" t="s">
        <v>12</v>
      </c>
      <c r="J245" s="10"/>
      <c r="K245" s="10"/>
      <c r="L245" s="10">
        <v>0.03</v>
      </c>
      <c r="M245" s="10" t="s">
        <v>0</v>
      </c>
      <c r="N245" s="10"/>
      <c r="O245" s="10"/>
      <c r="P245" s="10">
        <v>0.1</v>
      </c>
      <c r="Q245" s="10"/>
      <c r="R245" s="10"/>
      <c r="S245" s="10"/>
      <c r="T245" s="10"/>
      <c r="U245" s="10"/>
      <c r="V245" s="10"/>
      <c r="W245" s="10"/>
      <c r="X245" s="10"/>
      <c r="Y245" s="50">
        <v>249</v>
      </c>
      <c r="Z245" s="10">
        <v>240</v>
      </c>
      <c r="AA245" s="10" t="s">
        <v>3</v>
      </c>
      <c r="AB245" s="10">
        <v>0</v>
      </c>
      <c r="AC245" s="20">
        <v>0</v>
      </c>
      <c r="AD245" s="10" t="s">
        <v>44</v>
      </c>
      <c r="AE245" s="10" t="s">
        <v>211</v>
      </c>
      <c r="AF245" s="10" t="s">
        <v>208</v>
      </c>
      <c r="AG245" s="27">
        <f>1/1.5</f>
        <v>0.66666666666666663</v>
      </c>
      <c r="AH245" s="10">
        <v>2</v>
      </c>
      <c r="AI245" s="27">
        <f t="shared" si="36"/>
        <v>1.2</v>
      </c>
      <c r="AJ245" s="27"/>
      <c r="AK245" s="10">
        <v>1</v>
      </c>
      <c r="AL245" s="10">
        <v>628</v>
      </c>
      <c r="AM245" s="19">
        <f>Table1[[#This Row],[Y_Acryl_Ac]]/Table1[[#This Row],[S_Acryl_Ac]]</f>
        <v>0.33536585365853661</v>
      </c>
      <c r="AN245" s="19">
        <v>0.82</v>
      </c>
      <c r="AO245" s="19"/>
      <c r="AP245" s="19"/>
      <c r="AQ245" s="19">
        <v>0.27500000000000002</v>
      </c>
      <c r="AR245" s="19">
        <f>Table1[[#This Row],[Y_Acryl_Ac]]*Table1[[#This Row],[Ratio_Ac_Fa]]</f>
        <v>0.18333333333333335</v>
      </c>
      <c r="AS245" s="28">
        <f t="shared" si="35"/>
        <v>1.6417644933012703</v>
      </c>
      <c r="AT245" s="29"/>
      <c r="AU245" s="10" t="s">
        <v>49</v>
      </c>
      <c r="AV245" s="19"/>
      <c r="AW245" s="10" t="s">
        <v>111</v>
      </c>
      <c r="AX245" s="10">
        <v>2022</v>
      </c>
      <c r="AY245" s="10">
        <v>3</v>
      </c>
      <c r="AZ245" s="20">
        <v>0.89551681582981713</v>
      </c>
      <c r="BA245" s="20">
        <v>0.44775397510622689</v>
      </c>
      <c r="BB245" s="20">
        <v>0.29850262022055296</v>
      </c>
      <c r="BC245" s="20">
        <f>BA245*60*AR245/AY245</f>
        <v>1.6417645753894989</v>
      </c>
      <c r="BD245" s="20">
        <f>BB245*60*AQ245/AY245</f>
        <v>1.6417644112130414</v>
      </c>
    </row>
    <row r="246" spans="1:56" s="18" customFormat="1" ht="15.6" customHeight="1">
      <c r="A246" s="10">
        <v>245</v>
      </c>
      <c r="B246" s="13"/>
      <c r="C246" s="10" t="s">
        <v>10</v>
      </c>
      <c r="D246" s="10"/>
      <c r="E246" s="27">
        <v>1</v>
      </c>
      <c r="F246" s="10"/>
      <c r="G246" s="10"/>
      <c r="H246" s="27"/>
      <c r="I246" s="10" t="s">
        <v>0</v>
      </c>
      <c r="J246" s="10"/>
      <c r="K246" s="10"/>
      <c r="L246" s="10">
        <v>0.1</v>
      </c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50">
        <v>174</v>
      </c>
      <c r="Z246" s="10">
        <v>322</v>
      </c>
      <c r="AA246" s="10" t="s">
        <v>3</v>
      </c>
      <c r="AB246" s="10">
        <v>0</v>
      </c>
      <c r="AC246" s="20">
        <v>0</v>
      </c>
      <c r="AD246" s="10" t="s">
        <v>44</v>
      </c>
      <c r="AE246" s="10" t="s">
        <v>211</v>
      </c>
      <c r="AF246" s="10" t="s">
        <v>208</v>
      </c>
      <c r="AG246" s="10">
        <v>0.5</v>
      </c>
      <c r="AH246" s="10">
        <v>1</v>
      </c>
      <c r="AI246" s="27">
        <f t="shared" si="36"/>
        <v>1.2</v>
      </c>
      <c r="AJ246" s="27"/>
      <c r="AK246" s="10">
        <v>1</v>
      </c>
      <c r="AL246" s="10">
        <v>623</v>
      </c>
      <c r="AM246" s="19">
        <v>0.20399999999999999</v>
      </c>
      <c r="AN246" s="19">
        <f>Table1[[#This Row],[Y_Acryl_Ac]]/Table1[[#This Row],[X_Ac]]</f>
        <v>0.71568627450980393</v>
      </c>
      <c r="AO246" s="19"/>
      <c r="AP246" s="19"/>
      <c r="AQ246" s="19">
        <v>0.14599999999999999</v>
      </c>
      <c r="AR246" s="19">
        <f>Table1[[#This Row],[Y_Acryl_Ac]]*Table1[[#This Row],[Ratio_Ac_Fa]]</f>
        <v>7.2999999999999995E-2</v>
      </c>
      <c r="AS246" s="28">
        <f t="shared" si="35"/>
        <v>1.0916135654003587</v>
      </c>
      <c r="AT246" s="29"/>
      <c r="AU246" s="10" t="s">
        <v>47</v>
      </c>
      <c r="AV246" s="19" t="s">
        <v>152</v>
      </c>
      <c r="AW246" s="10" t="s">
        <v>111</v>
      </c>
      <c r="AX246" s="10">
        <v>2022</v>
      </c>
      <c r="AY246" s="10">
        <v>3</v>
      </c>
      <c r="AZ246" s="20">
        <v>0.74768052424682108</v>
      </c>
      <c r="BA246" s="20">
        <v>0.74768052424682108</v>
      </c>
      <c r="BB246" s="20">
        <v>0.37384026212341054</v>
      </c>
      <c r="BC246" s="20">
        <f>BA246*60*AR246/AY246</f>
        <v>1.0916135654003587</v>
      </c>
      <c r="BD246" s="20">
        <f>BB246*60*AQ246/AY246</f>
        <v>1.0916135654003587</v>
      </c>
    </row>
    <row r="247" spans="1:56" s="18" customFormat="1" ht="15.6" customHeight="1">
      <c r="A247" s="10">
        <v>246</v>
      </c>
      <c r="B247" s="13"/>
      <c r="C247" s="10" t="s">
        <v>10</v>
      </c>
      <c r="D247" s="10"/>
      <c r="E247" s="27">
        <v>1</v>
      </c>
      <c r="F247" s="10"/>
      <c r="G247" s="10"/>
      <c r="H247" s="27"/>
      <c r="I247" s="10" t="s">
        <v>12</v>
      </c>
      <c r="J247" s="10"/>
      <c r="K247" s="10"/>
      <c r="L247" s="10">
        <v>0.03</v>
      </c>
      <c r="M247" s="10" t="s">
        <v>0</v>
      </c>
      <c r="N247" s="10"/>
      <c r="O247" s="10"/>
      <c r="P247" s="10">
        <v>0.1</v>
      </c>
      <c r="Q247" s="10"/>
      <c r="R247" s="10"/>
      <c r="S247" s="10"/>
      <c r="T247" s="10"/>
      <c r="U247" s="10"/>
      <c r="V247" s="10"/>
      <c r="W247" s="10"/>
      <c r="X247" s="10"/>
      <c r="Y247" s="50">
        <v>232</v>
      </c>
      <c r="Z247" s="10">
        <v>322</v>
      </c>
      <c r="AA247" s="10" t="s">
        <v>3</v>
      </c>
      <c r="AB247" s="10">
        <v>0</v>
      </c>
      <c r="AC247" s="20">
        <v>0</v>
      </c>
      <c r="AD247" s="10" t="s">
        <v>44</v>
      </c>
      <c r="AE247" s="10" t="s">
        <v>211</v>
      </c>
      <c r="AF247" s="10" t="s">
        <v>208</v>
      </c>
      <c r="AG247" s="10">
        <v>0.5</v>
      </c>
      <c r="AH247" s="10">
        <v>1</v>
      </c>
      <c r="AI247" s="27">
        <f t="shared" si="36"/>
        <v>1.2</v>
      </c>
      <c r="AJ247" s="27"/>
      <c r="AK247" s="10">
        <v>1</v>
      </c>
      <c r="AL247" s="10">
        <v>623</v>
      </c>
      <c r="AM247" s="19">
        <f>Table1[[#This Row],[Y_Acryl_Ac]]/Table1[[#This Row],[S_Acryl_Ac]]</f>
        <v>0.31284302963776067</v>
      </c>
      <c r="AN247" s="19">
        <v>0.91100000000000003</v>
      </c>
      <c r="AO247" s="19"/>
      <c r="AP247" s="19"/>
      <c r="AQ247" s="19">
        <v>0.28499999999999998</v>
      </c>
      <c r="AR247" s="19">
        <f>Table1[[#This Row],[Y_Acryl_Ac]]*Table1[[#This Row],[Ratio_Ac_Fa]]</f>
        <v>0.14249999999999999</v>
      </c>
      <c r="AS247" s="28">
        <f t="shared" si="35"/>
        <v>2.1308894941034402</v>
      </c>
      <c r="AT247" s="29">
        <v>1</v>
      </c>
      <c r="AU247" s="10" t="s">
        <v>47</v>
      </c>
      <c r="AV247" s="19"/>
      <c r="AW247" s="10" t="s">
        <v>111</v>
      </c>
      <c r="AX247" s="10">
        <v>2022</v>
      </c>
      <c r="AY247" s="10">
        <v>3</v>
      </c>
      <c r="AZ247" s="20">
        <v>0.74768052424682108</v>
      </c>
      <c r="BA247" s="20">
        <v>0.74768052424682108</v>
      </c>
      <c r="BB247" s="20">
        <v>0.37384026212341054</v>
      </c>
      <c r="BC247" s="20">
        <f>BA247*60*AR247/AY247</f>
        <v>2.1308894941034402</v>
      </c>
      <c r="BD247" s="20">
        <f>BB247*60*AQ247/AY247</f>
        <v>2.1308894941034402</v>
      </c>
    </row>
    <row r="248" spans="1:56" s="18" customFormat="1" ht="15.6" customHeight="1">
      <c r="A248" s="10">
        <v>247</v>
      </c>
      <c r="B248" s="13"/>
      <c r="C248" s="10" t="s">
        <v>10</v>
      </c>
      <c r="D248" s="10"/>
      <c r="E248" s="27">
        <v>1</v>
      </c>
      <c r="F248" s="10"/>
      <c r="G248" s="10"/>
      <c r="H248" s="27"/>
      <c r="I248" s="10" t="s">
        <v>12</v>
      </c>
      <c r="J248" s="10"/>
      <c r="K248" s="10"/>
      <c r="L248" s="10">
        <v>0.03</v>
      </c>
      <c r="M248" s="10" t="s">
        <v>0</v>
      </c>
      <c r="N248" s="10"/>
      <c r="O248" s="10"/>
      <c r="P248" s="10">
        <v>0.1</v>
      </c>
      <c r="Q248" s="10"/>
      <c r="R248" s="10"/>
      <c r="S248" s="10"/>
      <c r="T248" s="10"/>
      <c r="U248" s="10"/>
      <c r="V248" s="10"/>
      <c r="W248" s="10"/>
      <c r="X248" s="10"/>
      <c r="Y248" s="50">
        <v>232</v>
      </c>
      <c r="Z248" s="10">
        <v>322</v>
      </c>
      <c r="AA248" s="10" t="s">
        <v>3</v>
      </c>
      <c r="AB248" s="10">
        <v>0</v>
      </c>
      <c r="AC248" s="20">
        <v>0</v>
      </c>
      <c r="AD248" s="10" t="s">
        <v>44</v>
      </c>
      <c r="AE248" s="10" t="s">
        <v>211</v>
      </c>
      <c r="AF248" s="10" t="s">
        <v>208</v>
      </c>
      <c r="AG248" s="10">
        <v>0.5</v>
      </c>
      <c r="AH248" s="10">
        <v>1</v>
      </c>
      <c r="AI248" s="27">
        <f t="shared" si="36"/>
        <v>1.2</v>
      </c>
      <c r="AJ248" s="27"/>
      <c r="AK248" s="10">
        <v>1</v>
      </c>
      <c r="AL248" s="10">
        <v>663</v>
      </c>
      <c r="AM248" s="19">
        <f>Table1[[#This Row],[Y_Acryl_Ac]]/Table1[[#This Row],[S_Acryl_Ac]]</f>
        <v>0.62986198243412794</v>
      </c>
      <c r="AN248" s="19">
        <v>0.79700000000000004</v>
      </c>
      <c r="AO248" s="19"/>
      <c r="AP248" s="19"/>
      <c r="AQ248" s="19">
        <v>0.502</v>
      </c>
      <c r="AR248" s="19">
        <f>Table1[[#This Row],[Y_Acryl_Ac]]*Table1[[#This Row],[Ratio_Ac_Fa]]</f>
        <v>0.251</v>
      </c>
      <c r="AS248" s="28">
        <f t="shared" si="35"/>
        <v>3.7533562317190419</v>
      </c>
      <c r="AT248" s="29"/>
      <c r="AU248" s="10" t="s">
        <v>47</v>
      </c>
      <c r="AV248" s="19"/>
      <c r="AW248" s="10" t="s">
        <v>111</v>
      </c>
      <c r="AX248" s="10">
        <v>2022</v>
      </c>
      <c r="AY248" s="10">
        <v>3</v>
      </c>
      <c r="AZ248" s="20">
        <v>0.74768052424682108</v>
      </c>
      <c r="BA248" s="20">
        <v>0.74768052424682108</v>
      </c>
      <c r="BB248" s="20">
        <v>0.37384026212341054</v>
      </c>
      <c r="BC248" s="20">
        <f>BA248*60*AR248/AY248</f>
        <v>3.7533562317190419</v>
      </c>
      <c r="BD248" s="20">
        <f>BB248*60*AQ248/AY248</f>
        <v>3.7533562317190419</v>
      </c>
    </row>
    <row r="249" spans="1:56" s="18" customFormat="1" ht="15.6" customHeight="1">
      <c r="A249" s="10">
        <v>248</v>
      </c>
      <c r="B249" s="13"/>
      <c r="C249" s="10" t="s">
        <v>12</v>
      </c>
      <c r="D249" s="10"/>
      <c r="E249" s="27">
        <v>1</v>
      </c>
      <c r="F249" s="10"/>
      <c r="G249" s="10"/>
      <c r="H249" s="27"/>
      <c r="I249" s="10" t="s">
        <v>0</v>
      </c>
      <c r="J249" s="10"/>
      <c r="K249" s="10">
        <v>0.1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50">
        <v>220</v>
      </c>
      <c r="Z249" s="10">
        <v>250</v>
      </c>
      <c r="AA249" s="10" t="s">
        <v>3</v>
      </c>
      <c r="AB249" s="10">
        <v>0</v>
      </c>
      <c r="AC249" s="20">
        <v>0</v>
      </c>
      <c r="AD249" s="10" t="s">
        <v>44</v>
      </c>
      <c r="AE249" s="10" t="s">
        <v>211</v>
      </c>
      <c r="AF249" s="10" t="s">
        <v>208</v>
      </c>
      <c r="AG249" s="10">
        <v>1</v>
      </c>
      <c r="AH249" s="10">
        <v>2</v>
      </c>
      <c r="AI249" s="27">
        <f>1.54*3.6/1.8</f>
        <v>3.08</v>
      </c>
      <c r="AJ249" s="27"/>
      <c r="AK249" s="10">
        <v>1</v>
      </c>
      <c r="AL249" s="10">
        <v>633</v>
      </c>
      <c r="AM249" s="19">
        <v>0.34499999999999997</v>
      </c>
      <c r="AN249" s="19">
        <v>0.221</v>
      </c>
      <c r="AO249" s="19"/>
      <c r="AP249" s="19"/>
      <c r="AQ249" s="19">
        <f>Table1[[#This Row],[X_Ac]]*Table1[[#This Row],[S_Acryl_Ac]]</f>
        <v>7.6244999999999993E-2</v>
      </c>
      <c r="AR249" s="19">
        <f>Table1[[#This Row],[Y_Acryl_Ac]]*Table1[[#This Row],[Ratio_Ac_Fa]]</f>
        <v>7.6244999999999993E-2</v>
      </c>
      <c r="AS249" s="28">
        <f t="shared" si="35"/>
        <v>1.4631771403274376</v>
      </c>
      <c r="AT249" s="16"/>
      <c r="AU249" s="10" t="s">
        <v>156</v>
      </c>
      <c r="AV249" s="30" t="s">
        <v>157</v>
      </c>
      <c r="AW249" s="10" t="s">
        <v>111</v>
      </c>
      <c r="AX249" s="10">
        <v>2022</v>
      </c>
      <c r="AY249" s="10">
        <v>1.8</v>
      </c>
      <c r="AZ249" s="20">
        <v>1.1514280073401046</v>
      </c>
      <c r="BA249" s="20">
        <v>0.57571400367005232</v>
      </c>
      <c r="BB249" s="20">
        <v>0.57571400367005221</v>
      </c>
      <c r="BC249" s="20">
        <f>BA249*60*AR249/AY249</f>
        <v>1.4631771403274378</v>
      </c>
      <c r="BD249" s="20">
        <f>BB249*60*AQ249/AY249</f>
        <v>1.4631771403274374</v>
      </c>
    </row>
    <row r="250" spans="1:56" s="18" customFormat="1">
      <c r="A250" s="10">
        <v>249</v>
      </c>
      <c r="B250" s="13"/>
      <c r="C250" s="10" t="s">
        <v>12</v>
      </c>
      <c r="D250" s="10"/>
      <c r="E250" s="27">
        <v>1</v>
      </c>
      <c r="F250" s="10"/>
      <c r="G250" s="10"/>
      <c r="H250" s="27"/>
      <c r="I250" s="10" t="s">
        <v>10</v>
      </c>
      <c r="J250" s="10"/>
      <c r="K250" s="10"/>
      <c r="L250" s="10">
        <v>0.11</v>
      </c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50">
        <v>238</v>
      </c>
      <c r="Z250" s="10">
        <v>250</v>
      </c>
      <c r="AA250" s="10" t="s">
        <v>158</v>
      </c>
      <c r="AB250" s="10">
        <v>0</v>
      </c>
      <c r="AC250" s="20">
        <v>0</v>
      </c>
      <c r="AD250" s="10" t="s">
        <v>44</v>
      </c>
      <c r="AE250" s="10" t="s">
        <v>211</v>
      </c>
      <c r="AF250" s="10" t="s">
        <v>208</v>
      </c>
      <c r="AG250" s="10">
        <v>1</v>
      </c>
      <c r="AH250" s="10">
        <v>2</v>
      </c>
      <c r="AI250" s="27">
        <f>1.54*3.6/1.8</f>
        <v>3.08</v>
      </c>
      <c r="AJ250" s="27"/>
      <c r="AK250" s="10">
        <v>1</v>
      </c>
      <c r="AL250" s="10">
        <v>633</v>
      </c>
      <c r="AM250" s="19">
        <v>0.186</v>
      </c>
      <c r="AN250" s="19">
        <v>0.19600000000000001</v>
      </c>
      <c r="AO250" s="19"/>
      <c r="AP250" s="19"/>
      <c r="AQ250" s="31">
        <f>Table1[[#This Row],[X_Ac]]*Table1[[#This Row],[S_Acryl_Ac]]</f>
        <v>3.6456000000000002E-2</v>
      </c>
      <c r="AR250" s="19">
        <f>Table1[[#This Row],[Y_Acryl_Ac]]*Table1[[#This Row],[Ratio_Ac_Fa]]</f>
        <v>3.6456000000000002E-2</v>
      </c>
      <c r="AS250" s="28">
        <f t="shared" si="35"/>
        <v>0.69960765725984753</v>
      </c>
      <c r="AT250" s="16"/>
      <c r="AU250" s="10" t="s">
        <v>156</v>
      </c>
      <c r="AV250" s="30" t="s">
        <v>195</v>
      </c>
      <c r="AW250" s="10" t="s">
        <v>111</v>
      </c>
      <c r="AX250" s="10">
        <v>2022</v>
      </c>
      <c r="AY250" s="10">
        <v>1.8</v>
      </c>
      <c r="AZ250" s="20">
        <v>1.1514280073401046</v>
      </c>
      <c r="BA250" s="20">
        <v>0.57571400367005232</v>
      </c>
      <c r="BB250" s="20">
        <v>0.57571400367005221</v>
      </c>
      <c r="BC250" s="20">
        <f>BA250*60*AR250/AY250</f>
        <v>0.69960765725984764</v>
      </c>
      <c r="BD250" s="20">
        <f>BB250*60*AQ250/AY250</f>
        <v>0.69960765725984753</v>
      </c>
    </row>
    <row r="251" spans="1:56" s="18" customFormat="1" ht="15.6" customHeight="1">
      <c r="A251" s="10">
        <v>250</v>
      </c>
      <c r="B251" s="13"/>
      <c r="C251" s="10" t="s">
        <v>12</v>
      </c>
      <c r="D251" s="10"/>
      <c r="E251" s="27">
        <v>1</v>
      </c>
      <c r="F251" s="10"/>
      <c r="G251" s="10"/>
      <c r="H251" s="27"/>
      <c r="I251" s="10" t="s">
        <v>10</v>
      </c>
      <c r="J251" s="10"/>
      <c r="K251" s="10"/>
      <c r="L251" s="10">
        <v>0.11</v>
      </c>
      <c r="M251" s="10" t="s">
        <v>0</v>
      </c>
      <c r="N251" s="10"/>
      <c r="O251" s="10">
        <v>0.1</v>
      </c>
      <c r="P251" s="10"/>
      <c r="Q251" s="10"/>
      <c r="R251" s="10"/>
      <c r="S251" s="10"/>
      <c r="T251" s="10"/>
      <c r="U251" s="10"/>
      <c r="V251" s="10"/>
      <c r="W251" s="10"/>
      <c r="X251" s="10"/>
      <c r="Y251" s="50">
        <v>191</v>
      </c>
      <c r="Z251" s="10">
        <v>250</v>
      </c>
      <c r="AA251" s="10" t="s">
        <v>159</v>
      </c>
      <c r="AB251" s="10">
        <v>0</v>
      </c>
      <c r="AC251" s="20">
        <v>0</v>
      </c>
      <c r="AD251" s="10" t="s">
        <v>44</v>
      </c>
      <c r="AE251" s="10" t="s">
        <v>211</v>
      </c>
      <c r="AF251" s="10" t="s">
        <v>208</v>
      </c>
      <c r="AG251" s="10">
        <v>1</v>
      </c>
      <c r="AH251" s="10">
        <v>2</v>
      </c>
      <c r="AI251" s="27">
        <f>1.54*3.6/1.8</f>
        <v>3.08</v>
      </c>
      <c r="AJ251" s="27"/>
      <c r="AK251" s="10">
        <v>1</v>
      </c>
      <c r="AL251" s="10">
        <v>633</v>
      </c>
      <c r="AM251" s="19">
        <v>0.25900000000000001</v>
      </c>
      <c r="AN251" s="19">
        <v>0.68799999999999994</v>
      </c>
      <c r="AO251" s="19"/>
      <c r="AP251" s="19"/>
      <c r="AQ251" s="31">
        <f>Table1[[#This Row],[X_Ac]]*Table1[[#This Row],[S_Acryl_Ac]]</f>
        <v>0.17819199999999999</v>
      </c>
      <c r="AR251" s="19">
        <f>Table1[[#This Row],[Y_Acryl_Ac]]*Table1[[#This Row],[Ratio_Ac_Fa]]</f>
        <v>0.17819199999999999</v>
      </c>
      <c r="AS251" s="28">
        <f t="shared" si="35"/>
        <v>3.4195876580657982</v>
      </c>
      <c r="AT251" s="16"/>
      <c r="AU251" s="10" t="s">
        <v>156</v>
      </c>
      <c r="AV251" s="30"/>
      <c r="AW251" s="10" t="s">
        <v>111</v>
      </c>
      <c r="AX251" s="10">
        <v>2022</v>
      </c>
      <c r="AY251" s="10">
        <v>1.8</v>
      </c>
      <c r="AZ251" s="20">
        <v>1.1514280073401</v>
      </c>
      <c r="BA251" s="20">
        <v>0.57571400367005232</v>
      </c>
      <c r="BB251" s="20">
        <v>0.57571400367005221</v>
      </c>
      <c r="BC251" s="20">
        <f>BA251*60*AR251/AY251</f>
        <v>3.4195876580657987</v>
      </c>
      <c r="BD251" s="20">
        <f>BB251*60*AQ251/AY251</f>
        <v>3.4195876580657973</v>
      </c>
    </row>
    <row r="252" spans="1:56" s="18" customFormat="1" ht="15.6" customHeight="1">
      <c r="A252" s="10">
        <v>251</v>
      </c>
      <c r="B252" s="13"/>
      <c r="C252" s="10" t="s">
        <v>12</v>
      </c>
      <c r="D252" s="10"/>
      <c r="E252" s="27">
        <v>1</v>
      </c>
      <c r="F252" s="10"/>
      <c r="G252" s="10"/>
      <c r="H252" s="27"/>
      <c r="I252" s="10" t="s">
        <v>10</v>
      </c>
      <c r="J252" s="10"/>
      <c r="K252" s="10"/>
      <c r="L252" s="10">
        <v>0.11</v>
      </c>
      <c r="M252" s="10" t="s">
        <v>0</v>
      </c>
      <c r="N252" s="10"/>
      <c r="O252" s="10">
        <v>0.1</v>
      </c>
      <c r="P252" s="10"/>
      <c r="Q252" s="10"/>
      <c r="R252" s="10"/>
      <c r="S252" s="10"/>
      <c r="T252" s="10"/>
      <c r="U252" s="10"/>
      <c r="V252" s="10"/>
      <c r="W252" s="10"/>
      <c r="X252" s="10"/>
      <c r="Y252" s="50">
        <v>191</v>
      </c>
      <c r="Z252" s="10">
        <v>250</v>
      </c>
      <c r="AA252" s="10" t="s">
        <v>159</v>
      </c>
      <c r="AB252" s="10">
        <v>0</v>
      </c>
      <c r="AC252" s="20">
        <v>0</v>
      </c>
      <c r="AD252" s="10" t="s">
        <v>44</v>
      </c>
      <c r="AE252" s="10" t="s">
        <v>211</v>
      </c>
      <c r="AF252" s="10" t="s">
        <v>208</v>
      </c>
      <c r="AG252" s="10">
        <v>0.5</v>
      </c>
      <c r="AH252" s="10">
        <v>0.5</v>
      </c>
      <c r="AI252" s="27">
        <f>1.54*3.6/1.8</f>
        <v>3.08</v>
      </c>
      <c r="AJ252" s="27"/>
      <c r="AK252" s="10">
        <v>1</v>
      </c>
      <c r="AL252" s="10">
        <v>633</v>
      </c>
      <c r="AM252" s="19">
        <v>0.28799999999999998</v>
      </c>
      <c r="AN252" s="19">
        <v>0.82099999999999995</v>
      </c>
      <c r="AO252" s="19"/>
      <c r="AP252" s="19"/>
      <c r="AQ252" s="31">
        <f>Table1[[#This Row],[X_Ac]]*Table1[[#This Row],[S_Acryl_Ac]]</f>
        <v>0.23644799999999996</v>
      </c>
      <c r="AR252" s="19">
        <f>Table1[[#This Row],[Y_Acryl_Ac]]*Table1[[#This Row],[Ratio_Ac_Fa]]</f>
        <v>0.11822399999999998</v>
      </c>
      <c r="AS252" s="28">
        <f t="shared" si="35"/>
        <v>6.0693040127047055</v>
      </c>
      <c r="AT252" s="16">
        <v>1</v>
      </c>
      <c r="AU252" s="10" t="s">
        <v>156</v>
      </c>
      <c r="AV252" s="30"/>
      <c r="AW252" s="10" t="s">
        <v>111</v>
      </c>
      <c r="AX252" s="10">
        <v>2022</v>
      </c>
      <c r="AY252" s="10">
        <v>1.8</v>
      </c>
      <c r="AZ252" s="20">
        <v>0.77005988792944402</v>
      </c>
      <c r="BA252" s="20">
        <v>1.540119775858888</v>
      </c>
      <c r="BB252" s="20">
        <v>0.77005988792944402</v>
      </c>
      <c r="BC252" s="20">
        <f>BA252*60*AR252/AY252</f>
        <v>6.0693040127047055</v>
      </c>
      <c r="BD252" s="20">
        <f>BB252*60*AQ252/AY252</f>
        <v>6.0693040127047055</v>
      </c>
    </row>
    <row r="253" spans="1:56" s="18" customFormat="1">
      <c r="A253" s="10">
        <v>252</v>
      </c>
      <c r="B253" s="13">
        <v>1</v>
      </c>
      <c r="C253" s="10" t="s">
        <v>10</v>
      </c>
      <c r="D253" s="10">
        <f>40/2</f>
        <v>20</v>
      </c>
      <c r="E253" s="27"/>
      <c r="F253" s="10" t="s">
        <v>12</v>
      </c>
      <c r="G253" s="10">
        <v>1</v>
      </c>
      <c r="H253" s="27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50">
        <v>615</v>
      </c>
      <c r="Z253" s="10"/>
      <c r="AA253" s="10"/>
      <c r="AB253" s="10">
        <v>0</v>
      </c>
      <c r="AC253" s="20">
        <v>0</v>
      </c>
      <c r="AD253" s="10" t="s">
        <v>44</v>
      </c>
      <c r="AE253" s="10" t="s">
        <v>211</v>
      </c>
      <c r="AF253" s="10" t="s">
        <v>208</v>
      </c>
      <c r="AG253" s="10">
        <v>1</v>
      </c>
      <c r="AH253" s="10">
        <v>2</v>
      </c>
      <c r="AI253" s="27">
        <f>3.6/1.8</f>
        <v>2</v>
      </c>
      <c r="AJ253" s="27"/>
      <c r="AK253" s="10">
        <v>1</v>
      </c>
      <c r="AL253" s="10">
        <v>633</v>
      </c>
      <c r="AM253" s="19">
        <v>0.14000000000000001</v>
      </c>
      <c r="AN253" s="19">
        <v>0.16400000000000001</v>
      </c>
      <c r="AO253" s="19"/>
      <c r="AP253" s="19"/>
      <c r="AQ253" s="31">
        <f>Table1[[#This Row],[X_Ac]]*Table1[[#This Row],[S_Acryl_Ac]]</f>
        <v>2.2960000000000005E-2</v>
      </c>
      <c r="AR253" s="19">
        <f>Table1[[#This Row],[Y_Acryl_Ac]]*Table1[[#This Row],[Ratio_Ac_Fa]]</f>
        <v>2.2960000000000005E-2</v>
      </c>
      <c r="AS253" s="28">
        <f t="shared" si="35"/>
        <v>0.28611241394511705</v>
      </c>
      <c r="AT253" s="16"/>
      <c r="AU253" s="10" t="s">
        <v>194</v>
      </c>
      <c r="AV253" s="30" t="s">
        <v>157</v>
      </c>
      <c r="AW253" s="10" t="s">
        <v>111</v>
      </c>
      <c r="AX253" s="10">
        <v>2023</v>
      </c>
      <c r="AY253" s="10">
        <v>1.8</v>
      </c>
      <c r="AZ253" s="20">
        <v>0.74768052424682119</v>
      </c>
      <c r="BA253" s="20">
        <v>0.37384026212341065</v>
      </c>
      <c r="BB253" s="20">
        <v>0.37384026212341065</v>
      </c>
      <c r="BC253" s="20">
        <f>BA253*60*AR253/AY253</f>
        <v>0.28611241394511705</v>
      </c>
      <c r="BD253" s="20">
        <f>BB253*60*AQ253/AY253</f>
        <v>0.28611241394511705</v>
      </c>
    </row>
    <row r="254" spans="1:56" s="18" customFormat="1">
      <c r="A254" s="10">
        <v>253</v>
      </c>
      <c r="B254" s="13"/>
      <c r="C254" s="10" t="s">
        <v>10</v>
      </c>
      <c r="D254" s="10">
        <f>40/2</f>
        <v>20</v>
      </c>
      <c r="E254" s="27"/>
      <c r="F254" s="10" t="s">
        <v>12</v>
      </c>
      <c r="G254" s="10">
        <v>1</v>
      </c>
      <c r="H254" s="27"/>
      <c r="I254" s="10" t="s">
        <v>0</v>
      </c>
      <c r="J254" s="10"/>
      <c r="K254" s="10">
        <v>0.17499999999999999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50">
        <v>348</v>
      </c>
      <c r="Z254" s="50">
        <v>615</v>
      </c>
      <c r="AA254" s="10" t="s">
        <v>3</v>
      </c>
      <c r="AB254" s="10">
        <v>0</v>
      </c>
      <c r="AC254" s="20">
        <v>0</v>
      </c>
      <c r="AD254" s="10" t="s">
        <v>44</v>
      </c>
      <c r="AE254" s="10" t="s">
        <v>211</v>
      </c>
      <c r="AF254" s="10" t="s">
        <v>208</v>
      </c>
      <c r="AG254" s="10">
        <v>1</v>
      </c>
      <c r="AH254" s="10">
        <v>2</v>
      </c>
      <c r="AI254" s="27">
        <f>3.6/1.8</f>
        <v>2</v>
      </c>
      <c r="AJ254" s="27"/>
      <c r="AK254" s="10">
        <v>1</v>
      </c>
      <c r="AL254" s="10">
        <v>653</v>
      </c>
      <c r="AM254" s="19">
        <v>0.51829999999999998</v>
      </c>
      <c r="AN254" s="19">
        <v>0.83250000000000002</v>
      </c>
      <c r="AO254" s="19"/>
      <c r="AP254" s="19"/>
      <c r="AQ254" s="31">
        <f>Table1[[#This Row],[X_Ac]]*Table1[[#This Row],[S_Acryl_Ac]]</f>
        <v>0.43148474999999997</v>
      </c>
      <c r="AR254" s="19">
        <f>Table1[[#This Row],[Y_Acryl_Ac]]*Table1[[#This Row],[Ratio_Ac_Fa]]</f>
        <v>0.43148474999999997</v>
      </c>
      <c r="AS254" s="28">
        <f t="shared" si="35"/>
        <v>5.3768790680751435</v>
      </c>
      <c r="AT254" s="16">
        <v>1</v>
      </c>
      <c r="AU254" s="10" t="s">
        <v>194</v>
      </c>
      <c r="AV254" s="30" t="s">
        <v>157</v>
      </c>
      <c r="AW254" s="10" t="s">
        <v>111</v>
      </c>
      <c r="AX254" s="10">
        <v>2023</v>
      </c>
      <c r="AY254" s="10">
        <v>1.8</v>
      </c>
      <c r="AZ254" s="20">
        <v>0.74768052424682119</v>
      </c>
      <c r="BA254" s="20">
        <v>0.37384026212341065</v>
      </c>
      <c r="BB254" s="20">
        <v>0.37384026212341065</v>
      </c>
      <c r="BC254" s="20">
        <f>BA254*60*AR254/AY254</f>
        <v>5.3768790680751435</v>
      </c>
      <c r="BD254" s="20">
        <f>BB254*60*AQ254/AY254</f>
        <v>5.3768790680751435</v>
      </c>
    </row>
    <row r="255" spans="1:56" s="18" customFormat="1">
      <c r="A255" s="10">
        <v>254</v>
      </c>
      <c r="B255" s="13"/>
      <c r="C255" s="10" t="s">
        <v>10</v>
      </c>
      <c r="D255" s="10">
        <f>40/2</f>
        <v>20</v>
      </c>
      <c r="E255" s="27"/>
      <c r="F255" s="10" t="s">
        <v>12</v>
      </c>
      <c r="G255" s="10">
        <v>1</v>
      </c>
      <c r="H255" s="27"/>
      <c r="I255" s="10" t="s">
        <v>0</v>
      </c>
      <c r="J255" s="10"/>
      <c r="K255" s="10">
        <v>0.17499999999999999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50">
        <v>348</v>
      </c>
      <c r="Z255" s="50">
        <v>615</v>
      </c>
      <c r="AA255" s="10" t="s">
        <v>3</v>
      </c>
      <c r="AB255" s="10">
        <v>0</v>
      </c>
      <c r="AC255" s="20">
        <v>0</v>
      </c>
      <c r="AD255" s="10" t="s">
        <v>44</v>
      </c>
      <c r="AE255" s="10" t="s">
        <v>211</v>
      </c>
      <c r="AF255" s="10" t="s">
        <v>208</v>
      </c>
      <c r="AG255" s="10">
        <v>1</v>
      </c>
      <c r="AH255" s="10">
        <v>2</v>
      </c>
      <c r="AI255" s="27">
        <f>3.6*1.6/1.8</f>
        <v>3.2</v>
      </c>
      <c r="AJ255" s="27"/>
      <c r="AK255" s="10">
        <v>1</v>
      </c>
      <c r="AL255" s="10">
        <v>653</v>
      </c>
      <c r="AM255" s="19">
        <v>0.4385</v>
      </c>
      <c r="AN255" s="19">
        <v>0.90400000000000003</v>
      </c>
      <c r="AO255" s="19"/>
      <c r="AP255" s="19"/>
      <c r="AQ255" s="31">
        <f>Table1[[#This Row],[X_Ac]]*Table1[[#This Row],[S_Acryl_Ac]]</f>
        <v>0.39640400000000003</v>
      </c>
      <c r="AR255" s="19">
        <f>Table1[[#This Row],[Y_Acryl_Ac]]*Table1[[#This Row],[Ratio_Ac_Fa]]</f>
        <v>0.39640400000000003</v>
      </c>
      <c r="AS255" s="28">
        <f t="shared" si="35"/>
        <v>7.9035613475609932</v>
      </c>
      <c r="AT255" s="16"/>
      <c r="AU255" s="10" t="s">
        <v>194</v>
      </c>
      <c r="AV255" s="30" t="s">
        <v>157</v>
      </c>
      <c r="AW255" s="10" t="s">
        <v>111</v>
      </c>
      <c r="AX255" s="10">
        <v>2023</v>
      </c>
      <c r="AY255" s="10">
        <v>1.8</v>
      </c>
      <c r="AZ255" s="20">
        <f>0.747680524246821*1.6</f>
        <v>1.1962888387949135</v>
      </c>
      <c r="BA255" s="20">
        <f>0.373840262123411*1.6</f>
        <v>0.59814441939745755</v>
      </c>
      <c r="BB255" s="20">
        <f>0.373840262123411*1.6</f>
        <v>0.59814441939745755</v>
      </c>
      <c r="BC255" s="20">
        <f>BA255*60*AR255/AY255</f>
        <v>7.9035613475609932</v>
      </c>
      <c r="BD255" s="20">
        <f>BB255*60*AQ255/AY255</f>
        <v>7.9035613475609932</v>
      </c>
    </row>
    <row r="256" spans="1:56" s="18" customFormat="1" ht="15.6" customHeight="1">
      <c r="A256" s="10">
        <v>255</v>
      </c>
      <c r="B256" s="13"/>
      <c r="C256" s="10" t="s">
        <v>10</v>
      </c>
      <c r="D256" s="10"/>
      <c r="E256" s="27">
        <v>1</v>
      </c>
      <c r="F256" s="10"/>
      <c r="G256" s="10"/>
      <c r="H256" s="27"/>
      <c r="I256" s="10" t="s">
        <v>0</v>
      </c>
      <c r="J256" s="10"/>
      <c r="K256" s="10"/>
      <c r="L256" s="10">
        <v>0.1</v>
      </c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50">
        <v>200</v>
      </c>
      <c r="Z256" s="10">
        <v>269</v>
      </c>
      <c r="AA256" s="10" t="s">
        <v>190</v>
      </c>
      <c r="AB256" s="10">
        <v>0</v>
      </c>
      <c r="AC256" s="20">
        <v>0</v>
      </c>
      <c r="AD256" s="10" t="s">
        <v>44</v>
      </c>
      <c r="AE256" s="10" t="s">
        <v>211</v>
      </c>
      <c r="AF256" s="10" t="s">
        <v>208</v>
      </c>
      <c r="AG256" s="10">
        <v>1</v>
      </c>
      <c r="AH256" s="10">
        <v>2</v>
      </c>
      <c r="AI256" s="27">
        <f>0.6*6/3</f>
        <v>1.2</v>
      </c>
      <c r="AJ256" s="27"/>
      <c r="AK256" s="10">
        <v>1</v>
      </c>
      <c r="AL256" s="10">
        <v>633</v>
      </c>
      <c r="AM256" s="19">
        <v>0.216</v>
      </c>
      <c r="AN256" s="19">
        <v>0.62370000000000003</v>
      </c>
      <c r="AO256" s="19"/>
      <c r="AP256" s="19"/>
      <c r="AQ256" s="31">
        <f>Table1[[#This Row],[X_Ac]]*Table1[[#This Row],[S_Acryl_Ac]]</f>
        <v>0.13471920000000001</v>
      </c>
      <c r="AR256" s="19">
        <f>Table1[[#This Row],[Y_Acryl_Ac]]*Table1[[#This Row],[Ratio_Ac_Fa]]</f>
        <v>0.13471920000000001</v>
      </c>
      <c r="AS256" s="28">
        <f t="shared" si="35"/>
        <v>1.0072692208211234</v>
      </c>
      <c r="AT256" s="16"/>
      <c r="AU256" s="10" t="s">
        <v>199</v>
      </c>
      <c r="AV256" s="30" t="s">
        <v>201</v>
      </c>
      <c r="AW256" s="10" t="s">
        <v>111</v>
      </c>
      <c r="AX256" s="10">
        <v>2024</v>
      </c>
      <c r="AY256" s="10">
        <v>3</v>
      </c>
      <c r="AZ256" s="20">
        <v>0.74768052424682108</v>
      </c>
      <c r="BA256" s="20">
        <v>0.37384026212341054</v>
      </c>
      <c r="BB256" s="20">
        <v>0.37384026212341054</v>
      </c>
      <c r="BC256" s="20">
        <f>BA256*60*AR256/AY256</f>
        <v>1.0072692208211234</v>
      </c>
      <c r="BD256" s="20">
        <f>BB256*60*AQ256/AY256</f>
        <v>1.0072692208211234</v>
      </c>
    </row>
    <row r="257" spans="1:56" s="18" customFormat="1" ht="15.6" customHeight="1">
      <c r="A257" s="10">
        <v>256</v>
      </c>
      <c r="B257" s="13"/>
      <c r="C257" s="10" t="s">
        <v>10</v>
      </c>
      <c r="D257" s="10"/>
      <c r="E257" s="27">
        <v>1</v>
      </c>
      <c r="F257" s="10"/>
      <c r="G257" s="10"/>
      <c r="H257" s="27"/>
      <c r="I257" s="10" t="s">
        <v>0</v>
      </c>
      <c r="J257" s="10"/>
      <c r="K257" s="10"/>
      <c r="L257" s="10">
        <v>0.1</v>
      </c>
      <c r="M257" s="10" t="s">
        <v>41</v>
      </c>
      <c r="N257" s="10"/>
      <c r="O257" s="10"/>
      <c r="P257" s="10">
        <v>0.05</v>
      </c>
      <c r="Q257" s="10"/>
      <c r="R257" s="10"/>
      <c r="S257" s="10"/>
      <c r="T257" s="10"/>
      <c r="U257" s="10"/>
      <c r="V257" s="10"/>
      <c r="W257" s="10"/>
      <c r="X257" s="10"/>
      <c r="Y257" s="50">
        <v>239</v>
      </c>
      <c r="Z257" s="10">
        <v>269</v>
      </c>
      <c r="AA257" s="10" t="s">
        <v>200</v>
      </c>
      <c r="AB257" s="10">
        <v>0</v>
      </c>
      <c r="AC257" s="20">
        <v>0</v>
      </c>
      <c r="AD257" s="10" t="s">
        <v>44</v>
      </c>
      <c r="AE257" s="10" t="s">
        <v>211</v>
      </c>
      <c r="AF257" s="10" t="s">
        <v>208</v>
      </c>
      <c r="AG257" s="10">
        <v>1</v>
      </c>
      <c r="AH257" s="10">
        <v>2</v>
      </c>
      <c r="AI257" s="27">
        <f>0.6*6/3</f>
        <v>1.2</v>
      </c>
      <c r="AJ257" s="27"/>
      <c r="AK257" s="10">
        <v>1</v>
      </c>
      <c r="AL257" s="10">
        <v>633</v>
      </c>
      <c r="AM257" s="19">
        <v>0.3216</v>
      </c>
      <c r="AN257" s="19">
        <v>0.88970000000000005</v>
      </c>
      <c r="AO257" s="19"/>
      <c r="AP257" s="19"/>
      <c r="AQ257" s="31">
        <f>Table1[[#This Row],[X_Ac]]*Table1[[#This Row],[S_Acryl_Ac]]</f>
        <v>0.28612752000000002</v>
      </c>
      <c r="AR257" s="19">
        <f>Table1[[#This Row],[Y_Acryl_Ac]]*Table1[[#This Row],[Ratio_Ac_Fa]]</f>
        <v>0.28612752000000002</v>
      </c>
      <c r="AS257" s="28">
        <f t="shared" si="35"/>
        <v>2.1393197415504281</v>
      </c>
      <c r="AT257" s="16">
        <v>1</v>
      </c>
      <c r="AU257" s="10" t="s">
        <v>199</v>
      </c>
      <c r="AV257" s="30" t="s">
        <v>201</v>
      </c>
      <c r="AW257" s="10" t="s">
        <v>111</v>
      </c>
      <c r="AX257" s="10">
        <v>2024</v>
      </c>
      <c r="AY257" s="10">
        <v>3</v>
      </c>
      <c r="AZ257" s="20">
        <v>0.74768052424682108</v>
      </c>
      <c r="BA257" s="20">
        <v>0.37384026212341054</v>
      </c>
      <c r="BB257" s="20">
        <v>0.37384026212341054</v>
      </c>
      <c r="BC257" s="20">
        <f>BA257*60*AR257/AY257</f>
        <v>2.1393197415504281</v>
      </c>
      <c r="BD257" s="20">
        <f>BB257*60*AQ257/AY257</f>
        <v>2.1393197415504281</v>
      </c>
    </row>
    <row r="258" spans="1:56" s="18" customFormat="1" ht="15.6" customHeight="1">
      <c r="A258" s="10">
        <v>257</v>
      </c>
      <c r="B258" s="13"/>
      <c r="C258" s="10" t="s">
        <v>10</v>
      </c>
      <c r="D258" s="10"/>
      <c r="E258" s="27">
        <v>1</v>
      </c>
      <c r="F258" s="10"/>
      <c r="G258" s="10"/>
      <c r="H258" s="27"/>
      <c r="I258" s="10" t="s">
        <v>0</v>
      </c>
      <c r="J258" s="10"/>
      <c r="K258" s="10"/>
      <c r="L258" s="10">
        <v>0.1</v>
      </c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50">
        <v>114</v>
      </c>
      <c r="Z258" s="10">
        <v>287</v>
      </c>
      <c r="AA258" s="10" t="s">
        <v>3</v>
      </c>
      <c r="AB258" s="10">
        <v>0</v>
      </c>
      <c r="AC258" s="20">
        <v>0</v>
      </c>
      <c r="AD258" s="10" t="s">
        <v>44</v>
      </c>
      <c r="AE258" s="10" t="s">
        <v>211</v>
      </c>
      <c r="AF258" s="10" t="s">
        <v>208</v>
      </c>
      <c r="AG258" s="10">
        <v>0.5</v>
      </c>
      <c r="AH258" s="10">
        <v>1</v>
      </c>
      <c r="AI258" s="27">
        <f>0.6*6/3</f>
        <v>1.2</v>
      </c>
      <c r="AJ258" s="27"/>
      <c r="AK258" s="10">
        <v>1</v>
      </c>
      <c r="AL258" s="10">
        <v>633</v>
      </c>
      <c r="AM258" s="19"/>
      <c r="AN258" s="19"/>
      <c r="AO258" s="19"/>
      <c r="AP258" s="19"/>
      <c r="AQ258" s="31">
        <v>0.1784</v>
      </c>
      <c r="AR258" s="19">
        <f>Table1[[#This Row],[Y_Acryl_Ac]]*Table1[[#This Row],[Ratio_Ac_Fa]]</f>
        <v>8.9200000000000002E-2</v>
      </c>
      <c r="AS258" s="28">
        <f t="shared" si="35"/>
        <v>1.3338620552563292</v>
      </c>
      <c r="AT258" s="16"/>
      <c r="AU258" s="10" t="s">
        <v>202</v>
      </c>
      <c r="AV258" s="19" t="s">
        <v>152</v>
      </c>
      <c r="AW258" s="10" t="s">
        <v>111</v>
      </c>
      <c r="AX258" s="10">
        <v>2024</v>
      </c>
      <c r="AY258" s="10">
        <v>3</v>
      </c>
      <c r="AZ258" s="20">
        <v>0.74768052424682108</v>
      </c>
      <c r="BA258" s="20">
        <v>0.74768052424682108</v>
      </c>
      <c r="BB258" s="20">
        <v>0.37384026212341059</v>
      </c>
      <c r="BC258" s="20">
        <f>BA258*60*AR258/AY258</f>
        <v>1.3338620552563289</v>
      </c>
      <c r="BD258" s="20">
        <f>BB258*60*AQ258/AY258</f>
        <v>1.3338620552563292</v>
      </c>
    </row>
    <row r="259" spans="1:56" s="18" customFormat="1" ht="15.6" customHeight="1">
      <c r="A259" s="10">
        <v>258</v>
      </c>
      <c r="B259" s="13"/>
      <c r="C259" s="10" t="s">
        <v>10</v>
      </c>
      <c r="D259" s="10"/>
      <c r="E259" s="27">
        <v>1</v>
      </c>
      <c r="F259" s="10"/>
      <c r="G259" s="10"/>
      <c r="H259" s="27"/>
      <c r="I259" s="10" t="s">
        <v>0</v>
      </c>
      <c r="J259" s="10"/>
      <c r="K259" s="10"/>
      <c r="L259" s="10">
        <v>0.1</v>
      </c>
      <c r="M259" s="10" t="s">
        <v>41</v>
      </c>
      <c r="N259" s="10"/>
      <c r="O259" s="10"/>
      <c r="P259" s="10">
        <v>0.03</v>
      </c>
      <c r="Q259" s="10"/>
      <c r="R259" s="10"/>
      <c r="S259" s="10"/>
      <c r="T259" s="10"/>
      <c r="U259" s="10"/>
      <c r="V259" s="10"/>
      <c r="W259" s="10"/>
      <c r="X259" s="10"/>
      <c r="Y259" s="50">
        <v>224</v>
      </c>
      <c r="Z259" s="10">
        <v>287</v>
      </c>
      <c r="AA259" s="10" t="s">
        <v>3</v>
      </c>
      <c r="AB259" s="10">
        <v>0</v>
      </c>
      <c r="AC259" s="20">
        <v>0</v>
      </c>
      <c r="AD259" s="10" t="s">
        <v>44</v>
      </c>
      <c r="AE259" s="10" t="s">
        <v>211</v>
      </c>
      <c r="AF259" s="10" t="s">
        <v>208</v>
      </c>
      <c r="AG259" s="10">
        <v>0.5</v>
      </c>
      <c r="AH259" s="10">
        <v>1</v>
      </c>
      <c r="AI259" s="27">
        <f>0.6*6/3</f>
        <v>1.2</v>
      </c>
      <c r="AJ259" s="27"/>
      <c r="AK259" s="10">
        <v>1</v>
      </c>
      <c r="AL259" s="10">
        <v>643</v>
      </c>
      <c r="AM259" s="19">
        <f>Table1[[#This Row],[Y_Acryl_Ac]]/Table1[[#This Row],[S_Acryl_Ac]]</f>
        <v>0.48021390374331552</v>
      </c>
      <c r="AN259" s="19">
        <v>0.93500000000000005</v>
      </c>
      <c r="AO259" s="19"/>
      <c r="AP259" s="19"/>
      <c r="AQ259" s="31">
        <v>0.44900000000000001</v>
      </c>
      <c r="AR259" s="19">
        <f>Table1[[#This Row],[Y_Acryl_Ac]]*Table1[[#This Row],[Ratio_Ac_Fa]]</f>
        <v>0.22450000000000001</v>
      </c>
      <c r="AS259" s="28">
        <f t="shared" si="35"/>
        <v>3.3570855538682274</v>
      </c>
      <c r="AT259" s="16"/>
      <c r="AU259" s="10" t="s">
        <v>202</v>
      </c>
      <c r="AV259" s="19" t="s">
        <v>152</v>
      </c>
      <c r="AW259" s="10" t="s">
        <v>111</v>
      </c>
      <c r="AX259" s="10">
        <v>2024</v>
      </c>
      <c r="AY259" s="10">
        <v>3</v>
      </c>
      <c r="AZ259" s="20">
        <v>0.74768052424682108</v>
      </c>
      <c r="BA259" s="20">
        <v>0.74768052424682108</v>
      </c>
      <c r="BB259" s="20">
        <v>0.37384026212341059</v>
      </c>
      <c r="BC259" s="20">
        <f>BA259*60*AR259/AY259</f>
        <v>3.3570855538682269</v>
      </c>
      <c r="BD259" s="20">
        <f>BB259*60*AQ259/AY259</f>
        <v>3.3570855538682274</v>
      </c>
    </row>
    <row r="260" spans="1:56" s="18" customFormat="1" ht="15.6" customHeight="1">
      <c r="A260" s="10">
        <v>259</v>
      </c>
      <c r="B260" s="13"/>
      <c r="C260" s="10" t="s">
        <v>10</v>
      </c>
      <c r="D260" s="10"/>
      <c r="E260" s="27">
        <v>1</v>
      </c>
      <c r="F260" s="10"/>
      <c r="G260" s="10"/>
      <c r="H260" s="27"/>
      <c r="I260" s="10" t="s">
        <v>0</v>
      </c>
      <c r="J260" s="10"/>
      <c r="K260" s="10"/>
      <c r="L260" s="10">
        <v>0.1</v>
      </c>
      <c r="M260" s="10" t="s">
        <v>41</v>
      </c>
      <c r="N260" s="10"/>
      <c r="O260" s="10"/>
      <c r="P260" s="10">
        <v>0.03</v>
      </c>
      <c r="Q260" s="10"/>
      <c r="R260" s="10"/>
      <c r="S260" s="10"/>
      <c r="T260" s="10"/>
      <c r="U260" s="10"/>
      <c r="V260" s="10"/>
      <c r="W260" s="10"/>
      <c r="X260" s="10"/>
      <c r="Y260" s="50">
        <v>224</v>
      </c>
      <c r="Z260" s="10">
        <v>287</v>
      </c>
      <c r="AA260" s="10" t="s">
        <v>3</v>
      </c>
      <c r="AB260" s="10">
        <v>0</v>
      </c>
      <c r="AC260" s="20">
        <v>0</v>
      </c>
      <c r="AD260" s="10" t="s">
        <v>44</v>
      </c>
      <c r="AE260" s="10" t="s">
        <v>211</v>
      </c>
      <c r="AF260" s="10" t="s">
        <v>208</v>
      </c>
      <c r="AG260" s="10">
        <v>2</v>
      </c>
      <c r="AH260" s="10">
        <v>2</v>
      </c>
      <c r="AI260" s="27">
        <f>0.6*6/3</f>
        <v>1.2</v>
      </c>
      <c r="AJ260" s="27"/>
      <c r="AK260" s="10">
        <v>1</v>
      </c>
      <c r="AL260" s="10">
        <v>643</v>
      </c>
      <c r="AM260" s="19"/>
      <c r="AN260" s="19"/>
      <c r="AO260" s="19"/>
      <c r="AP260" s="19"/>
      <c r="AQ260" s="31">
        <v>0.23760000000000001</v>
      </c>
      <c r="AR260" s="19">
        <f>Table1[[#This Row],[Y_Acryl_Ac]]*Table1[[#This Row],[Ratio_Ac_Fa]]</f>
        <v>0.47520000000000001</v>
      </c>
      <c r="AS260" s="28">
        <f t="shared" si="35"/>
        <v>2.3761847970394272</v>
      </c>
      <c r="AT260" s="16">
        <v>1</v>
      </c>
      <c r="AU260" s="10" t="s">
        <v>202</v>
      </c>
      <c r="AV260" s="30" t="s">
        <v>152</v>
      </c>
      <c r="AW260" s="10" t="s">
        <v>111</v>
      </c>
      <c r="AX260" s="10">
        <v>2024</v>
      </c>
      <c r="AY260" s="10">
        <v>3</v>
      </c>
      <c r="AZ260" s="20">
        <v>0.50003888826587273</v>
      </c>
      <c r="BA260" s="20">
        <v>0.25001944413293636</v>
      </c>
      <c r="BB260" s="20">
        <v>0.50003888826587273</v>
      </c>
      <c r="BC260" s="20">
        <f>BA260*60*AR260/AY260</f>
        <v>2.3761847970394272</v>
      </c>
      <c r="BD260" s="20">
        <f>BB260*60*AQ260/AY260</f>
        <v>2.3761847970394272</v>
      </c>
    </row>
    <row r="261" spans="1:56" s="18" customFormat="1" ht="15.6" customHeight="1">
      <c r="A261" s="10">
        <v>260</v>
      </c>
      <c r="B261" s="13"/>
      <c r="C261" s="10" t="s">
        <v>10</v>
      </c>
      <c r="D261" s="10"/>
      <c r="E261" s="27">
        <v>1</v>
      </c>
      <c r="F261" s="10"/>
      <c r="G261" s="10"/>
      <c r="H261" s="27"/>
      <c r="I261" s="10" t="s">
        <v>0</v>
      </c>
      <c r="J261" s="10"/>
      <c r="K261" s="10">
        <v>9.4E-2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50">
        <v>117</v>
      </c>
      <c r="Z261" s="10">
        <v>261</v>
      </c>
      <c r="AA261" s="10" t="s">
        <v>3</v>
      </c>
      <c r="AB261" s="10">
        <v>0</v>
      </c>
      <c r="AC261" s="20">
        <v>0</v>
      </c>
      <c r="AD261" s="10" t="s">
        <v>44</v>
      </c>
      <c r="AE261" s="10" t="s">
        <v>211</v>
      </c>
      <c r="AF261" s="10" t="s">
        <v>208</v>
      </c>
      <c r="AG261" s="10">
        <f t="shared" ref="AG261:AH263" si="37">2/1</f>
        <v>2</v>
      </c>
      <c r="AH261" s="10">
        <f t="shared" si="37"/>
        <v>2</v>
      </c>
      <c r="AI261" s="27">
        <f>0.8*6/3</f>
        <v>1.6000000000000003</v>
      </c>
      <c r="AJ261" s="27"/>
      <c r="AK261" s="10">
        <v>1</v>
      </c>
      <c r="AL261" s="10">
        <v>643</v>
      </c>
      <c r="AM261" s="19">
        <v>0.20499999999999999</v>
      </c>
      <c r="AN261" s="19">
        <v>0.63500000000000001</v>
      </c>
      <c r="AO261" s="19"/>
      <c r="AP261" s="19"/>
      <c r="AQ261" s="31">
        <f>Table1[[#This Row],[X_Ac]]*Table1[[#This Row],[S_Acryl_Ac]]</f>
        <v>0.13017499999999999</v>
      </c>
      <c r="AR261" s="19">
        <f>Table1[[#This Row],[Y_Acryl_Ac]]*Table1[[#This Row],[Ratio_Ac_Fa]]</f>
        <v>0.26034999999999997</v>
      </c>
      <c r="AS261" s="28">
        <f t="shared" si="35"/>
        <v>1.7358016608002662</v>
      </c>
      <c r="AT261" s="16"/>
      <c r="AU261" s="10" t="s">
        <v>204</v>
      </c>
      <c r="AV261" s="19" t="s">
        <v>152</v>
      </c>
      <c r="AW261" s="10" t="s">
        <v>111</v>
      </c>
      <c r="AX261" s="10">
        <v>2025</v>
      </c>
      <c r="AY261" s="10">
        <v>3</v>
      </c>
      <c r="AZ261" s="20">
        <v>0.6667185176878303</v>
      </c>
      <c r="BA261" s="20">
        <v>0.33335925884391515</v>
      </c>
      <c r="BB261" s="20">
        <v>0.6667185176878303</v>
      </c>
      <c r="BC261" s="20">
        <f>BA261*60*AR261/AY261</f>
        <v>1.7358016608002662</v>
      </c>
      <c r="BD261" s="20">
        <f>BB261*60*AQ261/AY261</f>
        <v>1.7358016608002662</v>
      </c>
    </row>
    <row r="262" spans="1:56" s="18" customFormat="1" ht="15.6" customHeight="1">
      <c r="A262" s="10">
        <v>261</v>
      </c>
      <c r="B262" s="13"/>
      <c r="C262" s="10" t="s">
        <v>10</v>
      </c>
      <c r="D262" s="10"/>
      <c r="E262" s="27">
        <v>1</v>
      </c>
      <c r="F262" s="10"/>
      <c r="G262" s="10"/>
      <c r="H262" s="27"/>
      <c r="I262" s="10" t="s">
        <v>0</v>
      </c>
      <c r="J262" s="10"/>
      <c r="K262" s="10">
        <v>9.4E-2</v>
      </c>
      <c r="L262" s="10"/>
      <c r="M262" s="10" t="s">
        <v>41</v>
      </c>
      <c r="N262" s="10"/>
      <c r="O262" s="10">
        <v>2.1999999999999999E-2</v>
      </c>
      <c r="P262" s="10"/>
      <c r="Q262" s="10"/>
      <c r="R262" s="10"/>
      <c r="S262" s="10"/>
      <c r="T262" s="10"/>
      <c r="U262" s="10"/>
      <c r="V262" s="10"/>
      <c r="W262" s="10"/>
      <c r="X262" s="10"/>
      <c r="Y262" s="50">
        <v>155</v>
      </c>
      <c r="Z262" s="10">
        <v>261</v>
      </c>
      <c r="AA262" s="10" t="s">
        <v>3</v>
      </c>
      <c r="AB262" s="10">
        <v>0</v>
      </c>
      <c r="AC262" s="20">
        <v>0</v>
      </c>
      <c r="AD262" s="10" t="s">
        <v>44</v>
      </c>
      <c r="AE262" s="10" t="s">
        <v>211</v>
      </c>
      <c r="AF262" s="10" t="s">
        <v>208</v>
      </c>
      <c r="AG262" s="10">
        <f t="shared" si="37"/>
        <v>2</v>
      </c>
      <c r="AH262" s="10">
        <f t="shared" si="37"/>
        <v>2</v>
      </c>
      <c r="AI262" s="27">
        <f>0.8*6/3</f>
        <v>1.6000000000000003</v>
      </c>
      <c r="AJ262" s="27"/>
      <c r="AK262" s="10">
        <v>1</v>
      </c>
      <c r="AL262" s="10">
        <v>643</v>
      </c>
      <c r="AM262" s="19">
        <v>0.17499999999999999</v>
      </c>
      <c r="AN262" s="19">
        <v>0.76200000000000001</v>
      </c>
      <c r="AO262" s="19"/>
      <c r="AP262" s="19"/>
      <c r="AQ262" s="31">
        <f>Table1[[#This Row],[X_Ac]]*Table1[[#This Row],[S_Acryl_Ac]]</f>
        <v>0.13335</v>
      </c>
      <c r="AR262" s="19">
        <f>Table1[[#This Row],[Y_Acryl_Ac]]*Table1[[#This Row],[Ratio_Ac_Fa]]</f>
        <v>0.26669999999999999</v>
      </c>
      <c r="AS262" s="28">
        <f t="shared" si="35"/>
        <v>1.7781382866734434</v>
      </c>
      <c r="AT262" s="16"/>
      <c r="AU262" s="10" t="s">
        <v>204</v>
      </c>
      <c r="AV262" s="30"/>
      <c r="AW262" s="10" t="s">
        <v>111</v>
      </c>
      <c r="AX262" s="10">
        <v>2025</v>
      </c>
      <c r="AY262" s="10">
        <v>3</v>
      </c>
      <c r="AZ262" s="20">
        <v>0.6667185176878303</v>
      </c>
      <c r="BA262" s="20">
        <v>0.33335925884391515</v>
      </c>
      <c r="BB262" s="20">
        <v>0.6667185176878303</v>
      </c>
      <c r="BC262" s="20">
        <f>BA262*60*AR262/AY262</f>
        <v>1.7781382866734434</v>
      </c>
      <c r="BD262" s="20">
        <f>BB262*60*AQ262/AY262</f>
        <v>1.7781382866734434</v>
      </c>
    </row>
    <row r="263" spans="1:56" s="18" customFormat="1" ht="15.6" customHeight="1">
      <c r="A263" s="10">
        <v>262</v>
      </c>
      <c r="B263" s="13"/>
      <c r="C263" s="10" t="s">
        <v>10</v>
      </c>
      <c r="D263" s="10"/>
      <c r="E263" s="27">
        <v>1</v>
      </c>
      <c r="F263" s="10"/>
      <c r="G263" s="10"/>
      <c r="H263" s="27"/>
      <c r="I263" s="10" t="s">
        <v>0</v>
      </c>
      <c r="J263" s="10"/>
      <c r="K263" s="10">
        <v>9.4E-2</v>
      </c>
      <c r="L263" s="10"/>
      <c r="M263" s="10" t="s">
        <v>41</v>
      </c>
      <c r="N263" s="10"/>
      <c r="O263" s="10">
        <v>2.1999999999999999E-2</v>
      </c>
      <c r="P263" s="10"/>
      <c r="Q263" s="10"/>
      <c r="R263" s="10"/>
      <c r="S263" s="10"/>
      <c r="T263" s="10"/>
      <c r="U263" s="10"/>
      <c r="V263" s="10"/>
      <c r="W263" s="10"/>
      <c r="X263" s="10"/>
      <c r="Y263" s="50">
        <v>189</v>
      </c>
      <c r="Z263" s="10">
        <v>261</v>
      </c>
      <c r="AA263" s="10" t="s">
        <v>203</v>
      </c>
      <c r="AB263" s="10">
        <v>0</v>
      </c>
      <c r="AC263" s="20">
        <v>0</v>
      </c>
      <c r="AD263" s="10" t="s">
        <v>44</v>
      </c>
      <c r="AE263" s="10" t="s">
        <v>211</v>
      </c>
      <c r="AF263" s="10" t="s">
        <v>208</v>
      </c>
      <c r="AG263" s="10">
        <f t="shared" si="37"/>
        <v>2</v>
      </c>
      <c r="AH263" s="10">
        <f t="shared" si="37"/>
        <v>2</v>
      </c>
      <c r="AI263" s="27">
        <f>0.8*6/3</f>
        <v>1.6000000000000003</v>
      </c>
      <c r="AJ263" s="27"/>
      <c r="AK263" s="10">
        <v>1</v>
      </c>
      <c r="AL263" s="10">
        <v>643</v>
      </c>
      <c r="AM263" s="19">
        <v>0.29899999999999999</v>
      </c>
      <c r="AN263" s="19">
        <v>0.77600000000000002</v>
      </c>
      <c r="AO263" s="19"/>
      <c r="AP263" s="19"/>
      <c r="AQ263" s="31">
        <f>Table1[[#This Row],[X_Ac]]*Table1[[#This Row],[S_Acryl_Ac]]</f>
        <v>0.23202400000000001</v>
      </c>
      <c r="AR263" s="19">
        <f>Table1[[#This Row],[Y_Acryl_Ac]]*Table1[[#This Row],[Ratio_Ac_Fa]]</f>
        <v>0.46404800000000002</v>
      </c>
      <c r="AS263" s="28">
        <f t="shared" si="35"/>
        <v>3.0938939469600228</v>
      </c>
      <c r="AT263" s="16">
        <v>1</v>
      </c>
      <c r="AU263" s="10" t="s">
        <v>204</v>
      </c>
      <c r="AV263" s="30" t="s">
        <v>213</v>
      </c>
      <c r="AW263" s="10" t="s">
        <v>111</v>
      </c>
      <c r="AX263" s="10">
        <v>2025</v>
      </c>
      <c r="AY263" s="10">
        <v>3</v>
      </c>
      <c r="AZ263" s="20">
        <v>0.6667185176878303</v>
      </c>
      <c r="BA263" s="20">
        <v>0.33335925884391515</v>
      </c>
      <c r="BB263" s="20">
        <v>0.6667185176878303</v>
      </c>
      <c r="BC263" s="20">
        <f>BA263*60*AR263/AY263</f>
        <v>3.0938939469600228</v>
      </c>
      <c r="BD263" s="20">
        <f>BB263*60*AQ263/AY263</f>
        <v>3.0938939469600228</v>
      </c>
    </row>
    <row r="264" spans="1:56" s="18" customFormat="1" ht="15.6" customHeight="1">
      <c r="A264" s="10">
        <v>263</v>
      </c>
      <c r="B264" s="13"/>
      <c r="C264" s="10" t="s">
        <v>10</v>
      </c>
      <c r="D264" s="10"/>
      <c r="E264" s="27">
        <v>1</v>
      </c>
      <c r="F264" s="10"/>
      <c r="G264" s="10"/>
      <c r="H264" s="27"/>
      <c r="I264" s="10" t="s">
        <v>0</v>
      </c>
      <c r="J264" s="10"/>
      <c r="K264" s="10"/>
      <c r="L264" s="20">
        <f>(1*281.81/2)/(50*60.08)</f>
        <v>4.6905792276964051E-2</v>
      </c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50">
        <v>112</v>
      </c>
      <c r="Z264" s="10">
        <v>233</v>
      </c>
      <c r="AA264" s="10" t="s">
        <v>3</v>
      </c>
      <c r="AB264" s="10">
        <v>1</v>
      </c>
      <c r="AC264" s="20">
        <v>0</v>
      </c>
      <c r="AD264" s="10" t="s">
        <v>44</v>
      </c>
      <c r="AE264" s="10" t="s">
        <v>210</v>
      </c>
      <c r="AF264" s="10" t="s">
        <v>208</v>
      </c>
      <c r="AG264" s="27">
        <v>6</v>
      </c>
      <c r="AH264" s="27">
        <v>1</v>
      </c>
      <c r="AI264" s="27">
        <v>1.0613146692418964</v>
      </c>
      <c r="AJ264" s="27"/>
      <c r="AK264" s="10">
        <v>1</v>
      </c>
      <c r="AL264" s="10">
        <v>653</v>
      </c>
      <c r="AM264" s="19">
        <v>0.14580000000000001</v>
      </c>
      <c r="AN264" s="19">
        <v>1</v>
      </c>
      <c r="AO264" s="19"/>
      <c r="AP264" s="19"/>
      <c r="AQ264" s="31">
        <f>Table1[[#This Row],[X_Ac]]*Table1[[#This Row],[S_Acryl_Ac]]</f>
        <v>0.14580000000000001</v>
      </c>
      <c r="AR264" s="19">
        <f>Table1[[#This Row],[Y_Acryl_Ac]]*Table1[[#This Row],[Ratio_Ac_Fa]]</f>
        <v>0.87480000000000002</v>
      </c>
      <c r="AS264" s="28">
        <f t="shared" si="35"/>
        <v>1.5686354331441386</v>
      </c>
      <c r="AT264" s="16"/>
      <c r="AU264" s="10" t="s">
        <v>160</v>
      </c>
      <c r="AV264" s="30"/>
      <c r="AW264" s="10" t="s">
        <v>161</v>
      </c>
      <c r="AX264" s="10">
        <v>2012</v>
      </c>
      <c r="AY264" s="10">
        <v>5</v>
      </c>
      <c r="AZ264" s="20">
        <v>0.14942800574837473</v>
      </c>
      <c r="BA264" s="20">
        <v>0.14942800574837473</v>
      </c>
      <c r="BB264" s="20">
        <v>0.89656803449024836</v>
      </c>
      <c r="BC264" s="20">
        <f>BA264*60*AR264/AY264</f>
        <v>1.5686354331441386</v>
      </c>
      <c r="BD264" s="20">
        <f>BB264*60*AQ264/AY264</f>
        <v>1.5686354331441386</v>
      </c>
    </row>
    <row r="265" spans="1:56" s="18" customFormat="1" ht="15.6" customHeight="1">
      <c r="A265" s="10">
        <v>264</v>
      </c>
      <c r="B265" s="13"/>
      <c r="C265" s="10" t="s">
        <v>12</v>
      </c>
      <c r="D265" s="10"/>
      <c r="E265" s="27">
        <v>1</v>
      </c>
      <c r="F265" s="10"/>
      <c r="G265" s="10"/>
      <c r="H265" s="27"/>
      <c r="I265" s="10" t="s">
        <v>0</v>
      </c>
      <c r="J265" s="10"/>
      <c r="K265" s="10"/>
      <c r="L265" s="20">
        <f>(1*281.81/2)/(50*101.96/2)</f>
        <v>5.5278540604158495E-2</v>
      </c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50">
        <v>42</v>
      </c>
      <c r="Z265" s="10">
        <v>204</v>
      </c>
      <c r="AA265" s="10" t="s">
        <v>164</v>
      </c>
      <c r="AB265" s="10">
        <v>1</v>
      </c>
      <c r="AC265" s="20">
        <v>0</v>
      </c>
      <c r="AD265" s="10" t="s">
        <v>44</v>
      </c>
      <c r="AE265" s="10" t="s">
        <v>210</v>
      </c>
      <c r="AF265" s="10" t="s">
        <v>208</v>
      </c>
      <c r="AG265" s="27">
        <v>6</v>
      </c>
      <c r="AH265" s="27">
        <v>1</v>
      </c>
      <c r="AI265" s="27">
        <v>1.0613146692418964</v>
      </c>
      <c r="AJ265" s="27"/>
      <c r="AK265" s="10">
        <v>1</v>
      </c>
      <c r="AL265" s="10">
        <v>683</v>
      </c>
      <c r="AM265" s="19">
        <v>7.46E-2</v>
      </c>
      <c r="AN265" s="19">
        <v>0.37680000000000002</v>
      </c>
      <c r="AO265" s="19"/>
      <c r="AP265" s="19"/>
      <c r="AQ265" s="31">
        <f>Table1[[#This Row],[X_Ac]]*Table1[[#This Row],[S_Acryl_Ac]]</f>
        <v>2.810928E-2</v>
      </c>
      <c r="AR265" s="19">
        <f>Table1[[#This Row],[Y_Acryl_Ac]]*Table1[[#This Row],[Ratio_Ac_Fa]]</f>
        <v>0.16865568</v>
      </c>
      <c r="AS265" s="28">
        <f t="shared" si="35"/>
        <v>0.30242258304643255</v>
      </c>
      <c r="AT265" s="16"/>
      <c r="AU265" s="10" t="s">
        <v>160</v>
      </c>
      <c r="AV265" s="30"/>
      <c r="AW265" s="10" t="s">
        <v>161</v>
      </c>
      <c r="AX265" s="10">
        <v>2012</v>
      </c>
      <c r="AY265" s="10">
        <v>5</v>
      </c>
      <c r="AZ265" s="20">
        <v>0.14942800574837473</v>
      </c>
      <c r="BA265" s="20">
        <v>0.14942800574837473</v>
      </c>
      <c r="BB265" s="20">
        <v>0.89656803449024836</v>
      </c>
      <c r="BC265" s="20">
        <f>BA265*60*AR265/AY265</f>
        <v>0.3024225830464326</v>
      </c>
      <c r="BD265" s="20">
        <f>BB265*60*AQ265/AY265</f>
        <v>0.30242258304643255</v>
      </c>
    </row>
    <row r="266" spans="1:56" s="18" customFormat="1" ht="15.6" customHeight="1">
      <c r="A266" s="10">
        <v>265</v>
      </c>
      <c r="B266" s="13"/>
      <c r="C266" s="10" t="s">
        <v>12</v>
      </c>
      <c r="D266" s="10"/>
      <c r="E266" s="27">
        <v>1</v>
      </c>
      <c r="F266" s="10"/>
      <c r="G266" s="10"/>
      <c r="H266" s="27"/>
      <c r="I266" s="10" t="s">
        <v>0</v>
      </c>
      <c r="J266" s="10"/>
      <c r="K266" s="10"/>
      <c r="L266" s="20">
        <f>(1*281.81/2)/(50*101.96/2)</f>
        <v>5.5278540604158495E-2</v>
      </c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50">
        <v>207</v>
      </c>
      <c r="Z266" s="10">
        <v>300</v>
      </c>
      <c r="AA266" s="10" t="s">
        <v>165</v>
      </c>
      <c r="AB266" s="10">
        <v>1</v>
      </c>
      <c r="AC266" s="20">
        <v>0</v>
      </c>
      <c r="AD266" s="10" t="s">
        <v>44</v>
      </c>
      <c r="AE266" s="10" t="s">
        <v>210</v>
      </c>
      <c r="AF266" s="10" t="s">
        <v>208</v>
      </c>
      <c r="AG266" s="27">
        <v>6</v>
      </c>
      <c r="AH266" s="27">
        <v>1</v>
      </c>
      <c r="AI266" s="27">
        <v>1.0613146692418964</v>
      </c>
      <c r="AJ266" s="27"/>
      <c r="AK266" s="10">
        <v>1</v>
      </c>
      <c r="AL266" s="10">
        <v>653</v>
      </c>
      <c r="AM266" s="19">
        <v>0.18970000000000001</v>
      </c>
      <c r="AN266" s="19">
        <f>Table1[[#This Row],[Y_Acryl_Ac]]/Table1[[#This Row],[X_Ac]]</f>
        <v>0.70848708487084866</v>
      </c>
      <c r="AO266" s="19"/>
      <c r="AP266" s="19"/>
      <c r="AQ266" s="19">
        <v>0.13439999999999999</v>
      </c>
      <c r="AR266" s="19">
        <f>Table1[[#This Row],[Y_Acryl_Ac]]*Table1[[#This Row],[Ratio_Ac_Fa]]</f>
        <v>0.80640000000000001</v>
      </c>
      <c r="AS266" s="28">
        <f t="shared" si="35"/>
        <v>1.4459849260258726</v>
      </c>
      <c r="AT266" s="16"/>
      <c r="AU266" s="10" t="s">
        <v>160</v>
      </c>
      <c r="AV266" s="30"/>
      <c r="AW266" s="10" t="s">
        <v>161</v>
      </c>
      <c r="AX266" s="10">
        <v>2012</v>
      </c>
      <c r="AY266" s="10">
        <v>5</v>
      </c>
      <c r="AZ266" s="20">
        <v>0.14942800574837473</v>
      </c>
      <c r="BA266" s="20">
        <v>0.14942800574837473</v>
      </c>
      <c r="BB266" s="20">
        <v>0.89656803449024836</v>
      </c>
      <c r="BC266" s="20">
        <f>BA266*60*AR266/AY266</f>
        <v>1.4459849260258726</v>
      </c>
      <c r="BD266" s="20">
        <f>BB266*60*AQ266/AY266</f>
        <v>1.4459849260258724</v>
      </c>
    </row>
    <row r="267" spans="1:56" s="18" customFormat="1" ht="15.6" customHeight="1">
      <c r="A267" s="10">
        <v>266</v>
      </c>
      <c r="B267" s="13"/>
      <c r="C267" s="10" t="s">
        <v>12</v>
      </c>
      <c r="D267" s="10"/>
      <c r="E267" s="27">
        <v>1</v>
      </c>
      <c r="F267" s="10"/>
      <c r="G267" s="10"/>
      <c r="H267" s="27"/>
      <c r="I267" s="10" t="s">
        <v>0</v>
      </c>
      <c r="J267" s="10"/>
      <c r="K267" s="10"/>
      <c r="L267" s="20">
        <f>(1*281.81/2)/(50*101.96/2)</f>
        <v>5.5278540604158495E-2</v>
      </c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50">
        <v>103</v>
      </c>
      <c r="Z267" s="10">
        <v>161</v>
      </c>
      <c r="AA267" s="10" t="s">
        <v>166</v>
      </c>
      <c r="AB267" s="10">
        <v>1</v>
      </c>
      <c r="AC267" s="20">
        <v>0</v>
      </c>
      <c r="AD267" s="10" t="s">
        <v>44</v>
      </c>
      <c r="AE267" s="10" t="s">
        <v>210</v>
      </c>
      <c r="AF267" s="10" t="s">
        <v>208</v>
      </c>
      <c r="AG267" s="27">
        <v>6</v>
      </c>
      <c r="AH267" s="27">
        <v>1</v>
      </c>
      <c r="AI267" s="27">
        <v>1.0613146692418964</v>
      </c>
      <c r="AJ267" s="27"/>
      <c r="AK267" s="10">
        <v>1</v>
      </c>
      <c r="AL267" s="10">
        <v>663</v>
      </c>
      <c r="AM267" s="19">
        <v>0.22570000000000001</v>
      </c>
      <c r="AN267" s="19">
        <f>Table1[[#This Row],[Y_Acryl_Ac]]/Table1[[#This Row],[X_Ac]]</f>
        <v>0.7315019937970757</v>
      </c>
      <c r="AO267" s="19"/>
      <c r="AP267" s="19"/>
      <c r="AQ267" s="31">
        <v>0.1651</v>
      </c>
      <c r="AR267" s="19">
        <f>Table1[[#This Row],[Y_Acryl_Ac]]*Table1[[#This Row],[Ratio_Ac_Fa]]</f>
        <v>0.99059999999999993</v>
      </c>
      <c r="AS267" s="28">
        <f t="shared" si="35"/>
        <v>1.7762805899320799</v>
      </c>
      <c r="AT267" s="16"/>
      <c r="AU267" s="10" t="s">
        <v>160</v>
      </c>
      <c r="AV267" s="30"/>
      <c r="AW267" s="10" t="s">
        <v>161</v>
      </c>
      <c r="AX267" s="10">
        <v>2012</v>
      </c>
      <c r="AY267" s="10">
        <v>5</v>
      </c>
      <c r="AZ267" s="20">
        <v>0.14942800574837473</v>
      </c>
      <c r="BA267" s="20">
        <v>0.14942800574837473</v>
      </c>
      <c r="BB267" s="20">
        <v>0.89656803449024836</v>
      </c>
      <c r="BC267" s="20">
        <f>BA267*60*AR267/AY267</f>
        <v>1.7762805899320799</v>
      </c>
      <c r="BD267" s="20">
        <f>BB267*60*AQ267/AY267</f>
        <v>1.7762805899320799</v>
      </c>
    </row>
    <row r="268" spans="1:56" s="18" customFormat="1">
      <c r="A268" s="10">
        <v>267</v>
      </c>
      <c r="B268" s="13"/>
      <c r="C268" s="10" t="s">
        <v>10</v>
      </c>
      <c r="D268" s="10">
        <f>500/2</f>
        <v>250</v>
      </c>
      <c r="E268" s="27"/>
      <c r="F268" s="10" t="s">
        <v>12</v>
      </c>
      <c r="G268" s="10">
        <v>1</v>
      </c>
      <c r="H268" s="27"/>
      <c r="I268" s="10" t="s">
        <v>0</v>
      </c>
      <c r="J268" s="10"/>
      <c r="K268" s="10"/>
      <c r="L268" s="10">
        <v>0.05</v>
      </c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50">
        <v>300</v>
      </c>
      <c r="Z268" s="10">
        <v>358</v>
      </c>
      <c r="AA268" s="10" t="s">
        <v>162</v>
      </c>
      <c r="AB268" s="10">
        <v>1</v>
      </c>
      <c r="AC268" s="20">
        <v>0</v>
      </c>
      <c r="AD268" s="10" t="s">
        <v>44</v>
      </c>
      <c r="AE268" s="10" t="s">
        <v>210</v>
      </c>
      <c r="AF268" s="10" t="s">
        <v>208</v>
      </c>
      <c r="AG268" s="27">
        <v>6</v>
      </c>
      <c r="AH268" s="27">
        <v>1</v>
      </c>
      <c r="AI268" s="27">
        <v>1.0613146692418964</v>
      </c>
      <c r="AJ268" s="27"/>
      <c r="AK268" s="10">
        <v>1</v>
      </c>
      <c r="AL268" s="10">
        <v>663</v>
      </c>
      <c r="AM268" s="19">
        <v>8.1699999999999995E-2</v>
      </c>
      <c r="AN268" s="19">
        <v>0.35599999999999998</v>
      </c>
      <c r="AO268" s="19"/>
      <c r="AP268" s="19"/>
      <c r="AQ268" s="19">
        <f>Table1[[#This Row],[X_Ac]]*Table1[[#This Row],[S_Acryl_Ac]]</f>
        <v>2.9085199999999995E-2</v>
      </c>
      <c r="AR268" s="19">
        <f>Table1[[#This Row],[Y_Acryl_Ac]]*Table1[[#This Row],[Ratio_Ac_Fa]]</f>
        <v>0.17451119999999998</v>
      </c>
      <c r="AS268" s="28">
        <f t="shared" si="35"/>
        <v>0.31292232716106916</v>
      </c>
      <c r="AT268" s="29"/>
      <c r="AU268" s="10" t="s">
        <v>56</v>
      </c>
      <c r="AV268" s="19" t="s">
        <v>167</v>
      </c>
      <c r="AW268" s="10" t="s">
        <v>161</v>
      </c>
      <c r="AX268" s="10">
        <v>2015</v>
      </c>
      <c r="AY268" s="10">
        <v>5</v>
      </c>
      <c r="AZ268" s="20">
        <v>0.14942800574837473</v>
      </c>
      <c r="BA268" s="20">
        <v>0.14942800574837473</v>
      </c>
      <c r="BB268" s="20">
        <v>0.89656803449024836</v>
      </c>
      <c r="BC268" s="20">
        <f>BA268*60*AR268/AY268</f>
        <v>0.31292232716106921</v>
      </c>
      <c r="BD268" s="20">
        <f>BB268*60*AQ268/AY268</f>
        <v>0.31292232716106916</v>
      </c>
    </row>
    <row r="269" spans="1:56" s="18" customFormat="1" ht="15.6" customHeight="1">
      <c r="A269" s="10">
        <v>268</v>
      </c>
      <c r="B269" s="13"/>
      <c r="C269" s="10" t="s">
        <v>12</v>
      </c>
      <c r="D269" s="10"/>
      <c r="E269" s="27">
        <v>1</v>
      </c>
      <c r="F269" s="10"/>
      <c r="G269" s="10"/>
      <c r="H269" s="27"/>
      <c r="I269" s="10" t="s">
        <v>0</v>
      </c>
      <c r="J269" s="10"/>
      <c r="K269" s="10"/>
      <c r="L269" s="10">
        <v>0.05</v>
      </c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50">
        <v>128</v>
      </c>
      <c r="Z269" s="10">
        <v>205</v>
      </c>
      <c r="AA269" s="10" t="s">
        <v>162</v>
      </c>
      <c r="AB269" s="10">
        <v>1</v>
      </c>
      <c r="AC269" s="20">
        <v>0</v>
      </c>
      <c r="AD269" s="10" t="s">
        <v>44</v>
      </c>
      <c r="AE269" s="10" t="s">
        <v>210</v>
      </c>
      <c r="AF269" s="10" t="s">
        <v>208</v>
      </c>
      <c r="AG269" s="27">
        <v>6</v>
      </c>
      <c r="AH269" s="27">
        <v>1</v>
      </c>
      <c r="AI269" s="27">
        <v>1.0613146692418964</v>
      </c>
      <c r="AJ269" s="27"/>
      <c r="AK269" s="10">
        <v>1</v>
      </c>
      <c r="AL269" s="10">
        <v>653</v>
      </c>
      <c r="AM269" s="19">
        <v>0.14910000000000001</v>
      </c>
      <c r="AN269" s="19">
        <v>0.1595</v>
      </c>
      <c r="AO269" s="19"/>
      <c r="AP269" s="19"/>
      <c r="AQ269" s="19">
        <f>Table1[[#This Row],[X_Ac]]*Table1[[#This Row],[S_Acryl_Ac]]</f>
        <v>2.3781450000000003E-2</v>
      </c>
      <c r="AR269" s="19">
        <f>Table1[[#This Row],[Y_Acryl_Ac]]*Table1[[#This Row],[Ratio_Ac_Fa]]</f>
        <v>0.1426887</v>
      </c>
      <c r="AS269" s="28">
        <f t="shared" si="35"/>
        <v>0.25586025460593742</v>
      </c>
      <c r="AT269" s="29"/>
      <c r="AU269" s="10" t="s">
        <v>56</v>
      </c>
      <c r="AV269" s="19"/>
      <c r="AW269" s="10" t="s">
        <v>161</v>
      </c>
      <c r="AX269" s="10">
        <v>2015</v>
      </c>
      <c r="AY269" s="10">
        <v>5</v>
      </c>
      <c r="AZ269" s="20">
        <v>0.14942800574837473</v>
      </c>
      <c r="BA269" s="20">
        <v>0.14942800574837473</v>
      </c>
      <c r="BB269" s="20">
        <v>0.89656803449024836</v>
      </c>
      <c r="BC269" s="20">
        <f>BA269*60*AR269/AY269</f>
        <v>0.25586025460593742</v>
      </c>
      <c r="BD269" s="20">
        <f>BB269*60*AQ269/AY269</f>
        <v>0.25586025460593742</v>
      </c>
    </row>
    <row r="270" spans="1:56" s="18" customFormat="1" ht="15.6" customHeight="1">
      <c r="A270" s="10">
        <v>269</v>
      </c>
      <c r="B270" s="13"/>
      <c r="C270" s="10" t="s">
        <v>10</v>
      </c>
      <c r="D270" s="10"/>
      <c r="E270" s="27">
        <v>1</v>
      </c>
      <c r="F270" s="10"/>
      <c r="G270" s="10"/>
      <c r="H270" s="27"/>
      <c r="I270" s="10" t="s">
        <v>0</v>
      </c>
      <c r="J270" s="10"/>
      <c r="K270" s="10"/>
      <c r="L270" s="10">
        <v>0.05</v>
      </c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50">
        <v>139</v>
      </c>
      <c r="Z270" s="10">
        <v>246</v>
      </c>
      <c r="AA270" s="10" t="s">
        <v>162</v>
      </c>
      <c r="AB270" s="10">
        <v>1</v>
      </c>
      <c r="AC270" s="20">
        <v>0</v>
      </c>
      <c r="AD270" s="10" t="s">
        <v>44</v>
      </c>
      <c r="AE270" s="10" t="s">
        <v>210</v>
      </c>
      <c r="AF270" s="10" t="s">
        <v>208</v>
      </c>
      <c r="AG270" s="27">
        <v>6</v>
      </c>
      <c r="AH270" s="27">
        <v>1</v>
      </c>
      <c r="AI270" s="27">
        <v>1.0613146692418964</v>
      </c>
      <c r="AJ270" s="27"/>
      <c r="AK270" s="10">
        <v>1</v>
      </c>
      <c r="AL270" s="10">
        <v>653</v>
      </c>
      <c r="AM270" s="19">
        <v>0.16850000000000001</v>
      </c>
      <c r="AN270" s="19">
        <v>0.37630000000000002</v>
      </c>
      <c r="AO270" s="19"/>
      <c r="AP270" s="19"/>
      <c r="AQ270" s="19">
        <f>Table1[[#This Row],[X_Ac]]*Table1[[#This Row],[S_Acryl_Ac]]</f>
        <v>6.3406550000000006E-2</v>
      </c>
      <c r="AR270" s="19">
        <f>Table1[[#This Row],[Y_Acryl_Ac]]*Table1[[#This Row],[Ratio_Ac_Fa]]</f>
        <v>0.38043930000000004</v>
      </c>
      <c r="AS270" s="28">
        <f t="shared" si="35"/>
        <v>0.68217943088769206</v>
      </c>
      <c r="AT270" s="29"/>
      <c r="AU270" s="10" t="s">
        <v>56</v>
      </c>
      <c r="AV270" s="19"/>
      <c r="AW270" s="10" t="s">
        <v>161</v>
      </c>
      <c r="AX270" s="10">
        <v>2015</v>
      </c>
      <c r="AY270" s="10">
        <v>5</v>
      </c>
      <c r="AZ270" s="20">
        <v>0.14942800574837473</v>
      </c>
      <c r="BA270" s="20">
        <v>0.14942800574837473</v>
      </c>
      <c r="BB270" s="20">
        <v>0.89656803449024836</v>
      </c>
      <c r="BC270" s="20">
        <f>BA270*60*AR270/AY270</f>
        <v>0.68217943088769206</v>
      </c>
      <c r="BD270" s="20">
        <f>BB270*60*AQ270/AY270</f>
        <v>0.68217943088769195</v>
      </c>
    </row>
    <row r="271" spans="1:56" s="18" customFormat="1" ht="15.6" customHeight="1">
      <c r="A271" s="10">
        <v>270</v>
      </c>
      <c r="B271" s="13"/>
      <c r="C271" s="10" t="s">
        <v>10</v>
      </c>
      <c r="D271" s="10"/>
      <c r="E271" s="27">
        <v>1</v>
      </c>
      <c r="F271" s="10"/>
      <c r="G271" s="10"/>
      <c r="H271" s="27"/>
      <c r="I271" s="10" t="s">
        <v>0</v>
      </c>
      <c r="J271" s="10"/>
      <c r="K271" s="10"/>
      <c r="L271" s="10">
        <v>0.05</v>
      </c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50">
        <v>108</v>
      </c>
      <c r="Z271" s="10">
        <v>163</v>
      </c>
      <c r="AA271" s="10" t="s">
        <v>162</v>
      </c>
      <c r="AB271" s="10">
        <v>1</v>
      </c>
      <c r="AC271" s="20">
        <v>0</v>
      </c>
      <c r="AD271" s="10" t="s">
        <v>44</v>
      </c>
      <c r="AE271" s="10" t="s">
        <v>210</v>
      </c>
      <c r="AF271" s="10" t="s">
        <v>208</v>
      </c>
      <c r="AG271" s="27">
        <v>6</v>
      </c>
      <c r="AH271" s="27">
        <v>1</v>
      </c>
      <c r="AI271" s="27">
        <v>1.0613146692418964</v>
      </c>
      <c r="AJ271" s="27"/>
      <c r="AK271" s="10">
        <v>1</v>
      </c>
      <c r="AL271" s="10">
        <v>653</v>
      </c>
      <c r="AM271" s="19">
        <v>0.17649999999999999</v>
      </c>
      <c r="AN271" s="19">
        <v>0.50049999999999994</v>
      </c>
      <c r="AO271" s="19"/>
      <c r="AP271" s="19"/>
      <c r="AQ271" s="19">
        <f>Table1[[#This Row],[X_Ac]]*Table1[[#This Row],[S_Acryl_Ac]]</f>
        <v>8.8338249999999979E-2</v>
      </c>
      <c r="AR271" s="19">
        <f>Table1[[#This Row],[Y_Acryl_Ac]]*Table1[[#This Row],[Ratio_Ac_Fa]]</f>
        <v>0.53002949999999993</v>
      </c>
      <c r="AS271" s="28">
        <f t="shared" si="35"/>
        <v>0.95041501407369799</v>
      </c>
      <c r="AT271" s="29"/>
      <c r="AU271" s="10" t="s">
        <v>56</v>
      </c>
      <c r="AV271" s="19"/>
      <c r="AW271" s="10" t="s">
        <v>161</v>
      </c>
      <c r="AX271" s="10">
        <v>2015</v>
      </c>
      <c r="AY271" s="10">
        <v>5</v>
      </c>
      <c r="AZ271" s="20">
        <v>0.14942800574837473</v>
      </c>
      <c r="BA271" s="20">
        <v>0.14942800574837473</v>
      </c>
      <c r="BB271" s="20">
        <v>0.89656803449024836</v>
      </c>
      <c r="BC271" s="20">
        <f>BA271*60*AR271/AY271</f>
        <v>0.95041501407369822</v>
      </c>
      <c r="BD271" s="20">
        <f>BB271*60*AQ271/AY271</f>
        <v>0.95041501407369788</v>
      </c>
    </row>
    <row r="272" spans="1:56" s="18" customFormat="1" ht="15.6" customHeight="1">
      <c r="A272" s="10">
        <v>271</v>
      </c>
      <c r="B272" s="13"/>
      <c r="C272" s="10" t="s">
        <v>10</v>
      </c>
      <c r="D272" s="10"/>
      <c r="E272" s="27">
        <v>1</v>
      </c>
      <c r="F272" s="10"/>
      <c r="G272" s="10"/>
      <c r="H272" s="27"/>
      <c r="I272" s="10" t="s">
        <v>0</v>
      </c>
      <c r="J272" s="10"/>
      <c r="K272" s="10"/>
      <c r="L272" s="10">
        <v>0.05</v>
      </c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50">
        <v>139</v>
      </c>
      <c r="Z272" s="10">
        <v>246</v>
      </c>
      <c r="AA272" s="10" t="s">
        <v>162</v>
      </c>
      <c r="AB272" s="10">
        <v>1</v>
      </c>
      <c r="AC272" s="20">
        <v>0</v>
      </c>
      <c r="AD272" s="10" t="s">
        <v>44</v>
      </c>
      <c r="AE272" s="10" t="s">
        <v>210</v>
      </c>
      <c r="AF272" s="10" t="s">
        <v>208</v>
      </c>
      <c r="AG272" s="27">
        <v>10</v>
      </c>
      <c r="AH272" s="27">
        <v>1</v>
      </c>
      <c r="AI272" s="27">
        <v>1.0653558198691899</v>
      </c>
      <c r="AJ272" s="27"/>
      <c r="AK272" s="10">
        <v>1</v>
      </c>
      <c r="AL272" s="10">
        <v>653</v>
      </c>
      <c r="AM272" s="19">
        <v>0.17899999999999999</v>
      </c>
      <c r="AN272" s="19">
        <v>0.38869999999999999</v>
      </c>
      <c r="AO272" s="19"/>
      <c r="AP272" s="19"/>
      <c r="AQ272" s="19">
        <f>Table1[[#This Row],[X_Ac]]*Table1[[#This Row],[S_Acryl_Ac]]</f>
        <v>6.9577299999999995E-2</v>
      </c>
      <c r="AR272" s="19">
        <f>Table1[[#This Row],[Y_Acryl_Ac]]*Table1[[#This Row],[Ratio_Ac_Fa]]</f>
        <v>0.69577299999999997</v>
      </c>
      <c r="AS272" s="28">
        <f t="shared" ref="AS272:AS303" si="38">AVERAGE(BC272:BD272)</f>
        <v>0.81472041972170461</v>
      </c>
      <c r="AT272" s="29"/>
      <c r="AU272" s="10" t="s">
        <v>56</v>
      </c>
      <c r="AV272" s="19"/>
      <c r="AW272" s="10" t="s">
        <v>161</v>
      </c>
      <c r="AX272" s="10">
        <v>2015</v>
      </c>
      <c r="AY272" s="10">
        <v>5</v>
      </c>
      <c r="AZ272" s="20">
        <v>9.7579768559777472E-2</v>
      </c>
      <c r="BA272" s="20">
        <v>9.7579768559777472E-2</v>
      </c>
      <c r="BB272" s="20">
        <v>0.97579768559777458</v>
      </c>
      <c r="BC272" s="20">
        <f>BA272*60*AR272/AY272</f>
        <v>0.81472041972170461</v>
      </c>
      <c r="BD272" s="20">
        <f>BB272*60*AQ272/AY272</f>
        <v>0.8147204197217045</v>
      </c>
    </row>
    <row r="273" spans="1:56" s="18" customFormat="1" ht="15.6" customHeight="1">
      <c r="A273" s="10">
        <v>272</v>
      </c>
      <c r="B273" s="13"/>
      <c r="C273" s="10" t="s">
        <v>10</v>
      </c>
      <c r="D273" s="10"/>
      <c r="E273" s="27">
        <v>1</v>
      </c>
      <c r="F273" s="10"/>
      <c r="G273" s="10"/>
      <c r="H273" s="27"/>
      <c r="I273" s="10" t="s">
        <v>0</v>
      </c>
      <c r="J273" s="10"/>
      <c r="K273" s="10"/>
      <c r="L273" s="10">
        <v>0.05</v>
      </c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50">
        <v>153</v>
      </c>
      <c r="Z273" s="10">
        <v>212</v>
      </c>
      <c r="AA273" s="10" t="s">
        <v>162</v>
      </c>
      <c r="AB273" s="10">
        <v>1</v>
      </c>
      <c r="AC273" s="20">
        <v>0</v>
      </c>
      <c r="AD273" s="10" t="s">
        <v>44</v>
      </c>
      <c r="AE273" s="10" t="s">
        <v>210</v>
      </c>
      <c r="AF273" s="10" t="s">
        <v>208</v>
      </c>
      <c r="AG273" s="27">
        <v>10</v>
      </c>
      <c r="AH273" s="27">
        <v>1</v>
      </c>
      <c r="AI273" s="27">
        <v>1.0653558198691899</v>
      </c>
      <c r="AJ273" s="27"/>
      <c r="AK273" s="10">
        <v>1</v>
      </c>
      <c r="AL273" s="10">
        <v>653</v>
      </c>
      <c r="AM273" s="19">
        <v>0.12870000000000001</v>
      </c>
      <c r="AN273" s="19">
        <v>0.46910000000000002</v>
      </c>
      <c r="AO273" s="19"/>
      <c r="AP273" s="19"/>
      <c r="AQ273" s="19">
        <f>Table1[[#This Row],[X_Ac]]*Table1[[#This Row],[S_Acryl_Ac]]</f>
        <v>6.0373170000000004E-2</v>
      </c>
      <c r="AR273" s="19">
        <f>Table1[[#This Row],[Y_Acryl_Ac]]*Table1[[#This Row],[Ratio_Ac_Fa]]</f>
        <v>0.60373169999999998</v>
      </c>
      <c r="AS273" s="28">
        <f t="shared" si="38"/>
        <v>0.70694399469841207</v>
      </c>
      <c r="AT273" s="29"/>
      <c r="AU273" s="10" t="s">
        <v>56</v>
      </c>
      <c r="AV273" s="19"/>
      <c r="AW273" s="10" t="s">
        <v>161</v>
      </c>
      <c r="AX273" s="10">
        <v>2015</v>
      </c>
      <c r="AY273" s="10">
        <v>5</v>
      </c>
      <c r="AZ273" s="20">
        <v>9.7579768559777472E-2</v>
      </c>
      <c r="BA273" s="20">
        <v>9.7579768559777472E-2</v>
      </c>
      <c r="BB273" s="20">
        <v>0.97579768559777458</v>
      </c>
      <c r="BC273" s="20">
        <f>BA273*60*AR273/AY273</f>
        <v>0.70694399469841207</v>
      </c>
      <c r="BD273" s="20">
        <f>BB273*60*AQ273/AY273</f>
        <v>0.70694399469841207</v>
      </c>
    </row>
    <row r="274" spans="1:56" s="18" customFormat="1" ht="15.6" customHeight="1">
      <c r="A274" s="10">
        <v>273</v>
      </c>
      <c r="B274" s="13"/>
      <c r="C274" s="10" t="s">
        <v>10</v>
      </c>
      <c r="D274" s="10"/>
      <c r="E274" s="27">
        <v>1</v>
      </c>
      <c r="F274" s="10"/>
      <c r="G274" s="10"/>
      <c r="H274" s="27"/>
      <c r="I274" s="10" t="s">
        <v>0</v>
      </c>
      <c r="J274" s="10"/>
      <c r="K274" s="10">
        <v>4.7E-2</v>
      </c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50">
        <v>115</v>
      </c>
      <c r="Z274" s="10">
        <v>156</v>
      </c>
      <c r="AA274" s="10" t="s">
        <v>162</v>
      </c>
      <c r="AB274" s="10">
        <v>1</v>
      </c>
      <c r="AC274" s="20">
        <v>0</v>
      </c>
      <c r="AD274" s="10" t="s">
        <v>44</v>
      </c>
      <c r="AE274" s="10" t="s">
        <v>210</v>
      </c>
      <c r="AF274" s="10" t="s">
        <v>208</v>
      </c>
      <c r="AG274" s="10">
        <v>10</v>
      </c>
      <c r="AH274" s="27">
        <v>1</v>
      </c>
      <c r="AI274" s="27">
        <v>1.0653558198691899</v>
      </c>
      <c r="AJ274" s="27"/>
      <c r="AK274" s="10">
        <v>1</v>
      </c>
      <c r="AL274" s="10">
        <v>653</v>
      </c>
      <c r="AM274" s="19">
        <f>AVERAGE(11.45, 12.83, 12.59, 12.17, 12.45)/100</f>
        <v>0.12298000000000002</v>
      </c>
      <c r="AN274" s="19">
        <f>Table1[[#This Row],[Y_Acryl_Ac]]/Table1[[#This Row],[X_Ac]]</f>
        <v>0.41047324768254989</v>
      </c>
      <c r="AO274" s="19"/>
      <c r="AP274" s="19"/>
      <c r="AQ274" s="19">
        <f>AVERAGE(4.45, 5.31, 5.1, 5.17, 5.21)/100</f>
        <v>5.0479999999999997E-2</v>
      </c>
      <c r="AR274" s="19">
        <f>Table1[[#This Row],[Y_Acryl_Ac]]*Table1[[#This Row],[Ratio_Ac_Fa]]</f>
        <v>0.50479999999999992</v>
      </c>
      <c r="AS274" s="28">
        <f t="shared" si="38"/>
        <v>0.59109920602770782</v>
      </c>
      <c r="AT274" s="29"/>
      <c r="AU274" s="10" t="s">
        <v>59</v>
      </c>
      <c r="AV274" s="19" t="s">
        <v>167</v>
      </c>
      <c r="AW274" s="10" t="s">
        <v>161</v>
      </c>
      <c r="AX274" s="10">
        <v>2015</v>
      </c>
      <c r="AY274" s="10">
        <v>5</v>
      </c>
      <c r="AZ274" s="20">
        <v>9.7579768559777472E-2</v>
      </c>
      <c r="BA274" s="20">
        <v>9.7579768559777472E-2</v>
      </c>
      <c r="BB274" s="20">
        <v>0.97579768559777458</v>
      </c>
      <c r="BC274" s="20">
        <f>BA274*60*AR274/AY274</f>
        <v>0.59109920602770794</v>
      </c>
      <c r="BD274" s="20">
        <f>BB274*60*AQ274/AY274</f>
        <v>0.59109920602770782</v>
      </c>
    </row>
    <row r="275" spans="1:56" s="18" customFormat="1">
      <c r="A275" s="10">
        <v>274</v>
      </c>
      <c r="B275" s="13"/>
      <c r="C275" s="10" t="s">
        <v>10</v>
      </c>
      <c r="D275" s="10"/>
      <c r="E275" s="27">
        <v>1</v>
      </c>
      <c r="F275" s="10"/>
      <c r="G275" s="10"/>
      <c r="H275" s="27"/>
      <c r="I275" s="10" t="s">
        <v>0</v>
      </c>
      <c r="J275" s="10"/>
      <c r="K275" s="10">
        <v>4.7E-2</v>
      </c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50">
        <v>114</v>
      </c>
      <c r="Z275" s="10">
        <v>156</v>
      </c>
      <c r="AA275" s="10" t="s">
        <v>163</v>
      </c>
      <c r="AB275" s="10">
        <v>1</v>
      </c>
      <c r="AC275" s="20">
        <v>0</v>
      </c>
      <c r="AD275" s="10" t="s">
        <v>44</v>
      </c>
      <c r="AE275" s="10" t="s">
        <v>210</v>
      </c>
      <c r="AF275" s="10" t="s">
        <v>208</v>
      </c>
      <c r="AG275" s="10">
        <v>10</v>
      </c>
      <c r="AH275" s="27">
        <v>1</v>
      </c>
      <c r="AI275" s="27">
        <v>1.0653558198691899</v>
      </c>
      <c r="AJ275" s="27"/>
      <c r="AK275" s="10">
        <v>1</v>
      </c>
      <c r="AL275" s="10">
        <v>653</v>
      </c>
      <c r="AM275" s="19">
        <f>AVERAGE(15.08, 13.93, 14.42, 15.25, 14.76)/100</f>
        <v>0.14687999999999998</v>
      </c>
      <c r="AN275" s="19">
        <f>Table1[[#This Row],[Y_Acryl_Ac]]/Table1[[#This Row],[X_Ac]]</f>
        <v>0.46663943355119836</v>
      </c>
      <c r="AO275" s="19"/>
      <c r="AP275" s="19"/>
      <c r="AQ275" s="19">
        <f>AVERAGE(6.88, 6.99, 6.93, 6.71, 6.76)/100</f>
        <v>6.8540000000000004E-2</v>
      </c>
      <c r="AR275" s="19">
        <f>Table1[[#This Row],[Y_Acryl_Ac]]*Table1[[#This Row],[Ratio_Ac_Fa]]</f>
        <v>0.68540000000000001</v>
      </c>
      <c r="AS275" s="28">
        <f t="shared" si="38"/>
        <v>0.80257408045045775</v>
      </c>
      <c r="AT275" s="29"/>
      <c r="AU275" s="10" t="s">
        <v>59</v>
      </c>
      <c r="AV275" s="19"/>
      <c r="AW275" s="10" t="s">
        <v>161</v>
      </c>
      <c r="AX275" s="10">
        <v>2015</v>
      </c>
      <c r="AY275" s="10">
        <v>5</v>
      </c>
      <c r="AZ275" s="20">
        <v>9.7579768559777472E-2</v>
      </c>
      <c r="BA275" s="20">
        <v>9.7579768559777472E-2</v>
      </c>
      <c r="BB275" s="20">
        <v>0.97579768559777458</v>
      </c>
      <c r="BC275" s="20">
        <f>BA275*60*AR275/AY275</f>
        <v>0.80257408045045775</v>
      </c>
      <c r="BD275" s="20">
        <f>BB275*60*AQ275/AY275</f>
        <v>0.80257408045045775</v>
      </c>
    </row>
    <row r="276" spans="1:56" s="18" customFormat="1">
      <c r="A276" s="10">
        <v>275</v>
      </c>
      <c r="B276" s="13"/>
      <c r="C276" s="10" t="s">
        <v>10</v>
      </c>
      <c r="D276" s="10"/>
      <c r="E276" s="27">
        <v>1</v>
      </c>
      <c r="F276" s="10"/>
      <c r="G276" s="10"/>
      <c r="H276" s="27"/>
      <c r="I276" s="10" t="s">
        <v>0</v>
      </c>
      <c r="J276" s="10"/>
      <c r="K276" s="10">
        <v>4.7E-2</v>
      </c>
      <c r="L276" s="10"/>
      <c r="M276" s="10" t="s">
        <v>206</v>
      </c>
      <c r="N276" s="10"/>
      <c r="O276" s="10">
        <v>2.5000000000000001E-2</v>
      </c>
      <c r="P276" s="10"/>
      <c r="Q276" s="10"/>
      <c r="R276" s="10"/>
      <c r="S276" s="10"/>
      <c r="T276" s="10"/>
      <c r="U276" s="10"/>
      <c r="V276" s="10"/>
      <c r="W276" s="10"/>
      <c r="X276" s="10"/>
      <c r="Y276" s="50">
        <v>111</v>
      </c>
      <c r="Z276" s="10">
        <v>156</v>
      </c>
      <c r="AA276" s="10" t="s">
        <v>163</v>
      </c>
      <c r="AB276" s="10">
        <v>1</v>
      </c>
      <c r="AC276" s="20">
        <v>0</v>
      </c>
      <c r="AD276" s="10" t="s">
        <v>44</v>
      </c>
      <c r="AE276" s="10" t="s">
        <v>210</v>
      </c>
      <c r="AF276" s="10" t="s">
        <v>208</v>
      </c>
      <c r="AG276" s="10">
        <v>10</v>
      </c>
      <c r="AH276" s="27">
        <v>1</v>
      </c>
      <c r="AI276" s="27">
        <v>1.0653558198691899</v>
      </c>
      <c r="AJ276" s="27"/>
      <c r="AK276" s="10">
        <v>1</v>
      </c>
      <c r="AL276" s="10">
        <v>653</v>
      </c>
      <c r="AM276" s="19">
        <f>AVERAGE(17.36, 17.5, 17.57, 17.36, 17.39)/100</f>
        <v>0.17435999999999999</v>
      </c>
      <c r="AN276" s="19">
        <f>Table1[[#This Row],[Y_Acryl_Ac]]/Table1[[#This Row],[X_Ac]]</f>
        <v>0.46478550126175722</v>
      </c>
      <c r="AO276" s="19"/>
      <c r="AP276" s="19"/>
      <c r="AQ276" s="19">
        <f>AVERAGE(8, 8.12, 8.17, 8.09, 8.14)/100</f>
        <v>8.1039999999999987E-2</v>
      </c>
      <c r="AR276" s="19">
        <f>Table1[[#This Row],[Y_Acryl_Ac]]*Table1[[#This Row],[Ratio_Ac_Fa]]</f>
        <v>0.8103999999999999</v>
      </c>
      <c r="AS276" s="28">
        <f t="shared" si="38"/>
        <v>0.94894373329012383</v>
      </c>
      <c r="AT276" s="29"/>
      <c r="AU276" s="10" t="s">
        <v>59</v>
      </c>
      <c r="AV276" s="19"/>
      <c r="AW276" s="10" t="s">
        <v>161</v>
      </c>
      <c r="AX276" s="10">
        <v>2015</v>
      </c>
      <c r="AY276" s="10">
        <v>5</v>
      </c>
      <c r="AZ276" s="20">
        <v>9.7579768559777472E-2</v>
      </c>
      <c r="BA276" s="20">
        <v>9.7579768559777472E-2</v>
      </c>
      <c r="BB276" s="20">
        <v>0.97579768559777458</v>
      </c>
      <c r="BC276" s="20">
        <f>BA276*60*AR276/AY276</f>
        <v>0.94894373329012383</v>
      </c>
      <c r="BD276" s="20">
        <f>BB276*60*AQ276/AY276</f>
        <v>0.94894373329012383</v>
      </c>
    </row>
    <row r="277" spans="1:56" s="18" customFormat="1">
      <c r="A277" s="10">
        <v>276</v>
      </c>
      <c r="B277" s="13"/>
      <c r="C277" s="10" t="s">
        <v>10</v>
      </c>
      <c r="D277" s="10"/>
      <c r="E277" s="27">
        <v>1</v>
      </c>
      <c r="F277" s="10"/>
      <c r="G277" s="10"/>
      <c r="H277" s="27"/>
      <c r="I277" s="10" t="s">
        <v>0</v>
      </c>
      <c r="J277" s="10"/>
      <c r="K277" s="10">
        <v>4.7E-2</v>
      </c>
      <c r="L277" s="10"/>
      <c r="M277" s="10" t="s">
        <v>110</v>
      </c>
      <c r="N277" s="10"/>
      <c r="O277" s="10">
        <v>2.5000000000000001E-2</v>
      </c>
      <c r="P277" s="10"/>
      <c r="Q277" s="10" t="s">
        <v>206</v>
      </c>
      <c r="R277" s="10"/>
      <c r="S277" s="10">
        <v>2.5000000000000001E-2</v>
      </c>
      <c r="T277" s="10"/>
      <c r="U277" s="10"/>
      <c r="V277" s="10"/>
      <c r="W277" s="10"/>
      <c r="X277" s="10"/>
      <c r="Y277" s="50">
        <v>106</v>
      </c>
      <c r="Z277" s="10">
        <v>156</v>
      </c>
      <c r="AA277" s="10" t="s">
        <v>162</v>
      </c>
      <c r="AB277" s="10">
        <v>1</v>
      </c>
      <c r="AC277" s="20">
        <v>0</v>
      </c>
      <c r="AD277" s="10" t="s">
        <v>44</v>
      </c>
      <c r="AE277" s="10" t="s">
        <v>210</v>
      </c>
      <c r="AF277" s="10" t="s">
        <v>208</v>
      </c>
      <c r="AG277" s="10">
        <v>10</v>
      </c>
      <c r="AH277" s="27">
        <v>1</v>
      </c>
      <c r="AI277" s="27">
        <v>1.0653558198691899</v>
      </c>
      <c r="AJ277" s="27"/>
      <c r="AK277" s="10">
        <v>1</v>
      </c>
      <c r="AL277" s="10">
        <v>653</v>
      </c>
      <c r="AM277" s="19">
        <f>AVERAGE(20.57, 20.68, 20.68, 20.64, 20.54)/100</f>
        <v>0.20621999999999996</v>
      </c>
      <c r="AN277" s="19">
        <f>Table1[[#This Row],[Y_Acryl_Ac]]/Table1[[#This Row],[X_Ac]]</f>
        <v>0.44127630685675501</v>
      </c>
      <c r="AO277" s="19"/>
      <c r="AP277" s="19"/>
      <c r="AQ277" s="19">
        <f>AVERAGE(8.7, 8.89, 9.08, 9.24, 9.59)/100</f>
        <v>9.0999999999999998E-2</v>
      </c>
      <c r="AR277" s="19">
        <f>Table1[[#This Row],[Y_Acryl_Ac]]*Table1[[#This Row],[Ratio_Ac_Fa]]</f>
        <v>0.90999999999999992</v>
      </c>
      <c r="AS277" s="28">
        <f t="shared" si="38"/>
        <v>1.0655710726727698</v>
      </c>
      <c r="AT277" s="29" t="s">
        <v>258</v>
      </c>
      <c r="AU277" s="10" t="s">
        <v>59</v>
      </c>
      <c r="AV277" s="19"/>
      <c r="AW277" s="10" t="s">
        <v>161</v>
      </c>
      <c r="AX277" s="10">
        <v>2015</v>
      </c>
      <c r="AY277" s="10">
        <v>5</v>
      </c>
      <c r="AZ277" s="20">
        <v>9.7579768559777472E-2</v>
      </c>
      <c r="BA277" s="20">
        <v>9.7579768559777472E-2</v>
      </c>
      <c r="BB277" s="20">
        <v>0.97579768559777458</v>
      </c>
      <c r="BC277" s="20">
        <f>BA277*60*AR277/AY277</f>
        <v>1.0655710726727698</v>
      </c>
      <c r="BD277" s="20">
        <f>BB277*60*AQ277/AY277</f>
        <v>1.0655710726727698</v>
      </c>
    </row>
    <row r="278" spans="1:56" s="18" customFormat="1">
      <c r="A278" s="10">
        <v>277</v>
      </c>
      <c r="B278" s="13"/>
      <c r="C278" s="10" t="s">
        <v>10</v>
      </c>
      <c r="D278" s="10"/>
      <c r="E278" s="27">
        <v>1</v>
      </c>
      <c r="F278" s="10"/>
      <c r="G278" s="10"/>
      <c r="H278" s="27"/>
      <c r="I278" s="10" t="s">
        <v>0</v>
      </c>
      <c r="J278" s="10"/>
      <c r="K278" s="10">
        <v>4.7E-2</v>
      </c>
      <c r="L278" s="10"/>
      <c r="M278" s="10" t="s">
        <v>110</v>
      </c>
      <c r="N278" s="10"/>
      <c r="O278" s="10">
        <v>2.5000000000000001E-2</v>
      </c>
      <c r="P278" s="10"/>
      <c r="Q278" s="10" t="s">
        <v>206</v>
      </c>
      <c r="R278" s="10"/>
      <c r="S278" s="10">
        <v>2.5000000000000001E-2</v>
      </c>
      <c r="T278" s="10"/>
      <c r="U278" s="10"/>
      <c r="V278" s="10"/>
      <c r="W278" s="10"/>
      <c r="X278" s="10"/>
      <c r="Y278" s="50">
        <v>106</v>
      </c>
      <c r="Z278" s="10">
        <v>156</v>
      </c>
      <c r="AA278" s="10" t="s">
        <v>163</v>
      </c>
      <c r="AB278" s="10">
        <v>1</v>
      </c>
      <c r="AC278" s="20">
        <v>0</v>
      </c>
      <c r="AD278" s="10" t="s">
        <v>44</v>
      </c>
      <c r="AE278" s="10" t="s">
        <v>210</v>
      </c>
      <c r="AF278" s="10" t="s">
        <v>208</v>
      </c>
      <c r="AG278" s="10">
        <v>10</v>
      </c>
      <c r="AH278" s="27">
        <v>1</v>
      </c>
      <c r="AI278" s="27">
        <v>1.0653558198691899</v>
      </c>
      <c r="AJ278" s="27"/>
      <c r="AK278" s="10">
        <v>1</v>
      </c>
      <c r="AL278" s="10">
        <v>653</v>
      </c>
      <c r="AM278" s="19">
        <f>AVERAGE(20.54, 20.61, 20.57, 20.61, 20.54)/100</f>
        <v>0.20574000000000001</v>
      </c>
      <c r="AN278" s="19">
        <f>Table1[[#This Row],[Y_Acryl_Ac]]/Table1[[#This Row],[X_Ac]]</f>
        <v>0.44736074657334501</v>
      </c>
      <c r="AO278" s="19"/>
      <c r="AP278" s="19"/>
      <c r="AQ278" s="19">
        <f>AVERAGE(8.9, 8.98, 9.41, 9.38, 9.35)/100</f>
        <v>9.2040000000000011E-2</v>
      </c>
      <c r="AR278" s="19">
        <f>Table1[[#This Row],[Y_Acryl_Ac]]*Table1[[#This Row],[Ratio_Ac_Fa]]</f>
        <v>0.92040000000000011</v>
      </c>
      <c r="AS278" s="28">
        <f t="shared" si="38"/>
        <v>1.0777490277890303</v>
      </c>
      <c r="AT278" s="29" t="s">
        <v>257</v>
      </c>
      <c r="AU278" s="10" t="s">
        <v>59</v>
      </c>
      <c r="AV278" s="19"/>
      <c r="AW278" s="10" t="s">
        <v>161</v>
      </c>
      <c r="AX278" s="10">
        <v>2015</v>
      </c>
      <c r="AY278" s="10">
        <v>5</v>
      </c>
      <c r="AZ278" s="20">
        <v>9.7579768559777472E-2</v>
      </c>
      <c r="BA278" s="20">
        <v>9.7579768559777472E-2</v>
      </c>
      <c r="BB278" s="20">
        <v>0.97579768559777458</v>
      </c>
      <c r="BC278" s="20">
        <f>BA278*60*AR278/AY278</f>
        <v>1.0777490277890303</v>
      </c>
      <c r="BD278" s="20">
        <f>BB278*60*AQ278/AY278</f>
        <v>1.0777490277890303</v>
      </c>
    </row>
    <row r="279" spans="1:56" s="18" customFormat="1">
      <c r="A279" s="10">
        <v>278</v>
      </c>
      <c r="B279" s="13">
        <v>1</v>
      </c>
      <c r="C279" s="10" t="s">
        <v>10</v>
      </c>
      <c r="D279" s="10"/>
      <c r="E279" s="27">
        <v>1</v>
      </c>
      <c r="F279" s="10"/>
      <c r="G279" s="10"/>
      <c r="H279" s="27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50">
        <v>493</v>
      </c>
      <c r="Z279" s="10"/>
      <c r="AA279" s="10" t="s">
        <v>4</v>
      </c>
      <c r="AB279" s="10" t="s">
        <v>311</v>
      </c>
      <c r="AC279" s="20">
        <v>0</v>
      </c>
      <c r="AD279" s="10" t="s">
        <v>44</v>
      </c>
      <c r="AE279" s="10" t="s">
        <v>211</v>
      </c>
      <c r="AF279" s="10" t="s">
        <v>208</v>
      </c>
      <c r="AG279" s="10">
        <v>0.5</v>
      </c>
      <c r="AH279" s="27">
        <v>1</v>
      </c>
      <c r="AI279" s="27">
        <f t="shared" ref="AI279:AI284" si="39">1.8*2/1</f>
        <v>3.6</v>
      </c>
      <c r="AJ279" s="27"/>
      <c r="AK279" s="10">
        <v>1</v>
      </c>
      <c r="AL279" s="10">
        <v>663</v>
      </c>
      <c r="AM279" s="19">
        <v>5.1000000000000004E-3</v>
      </c>
      <c r="AN279" s="19">
        <f>Table1[[#This Row],[Y_Acryl_Ac]]/Table1[[#This Row],[X_Ac]]</f>
        <v>0.82352941176470573</v>
      </c>
      <c r="AO279" s="19"/>
      <c r="AP279" s="19"/>
      <c r="AQ279" s="19">
        <v>4.1999999999999997E-3</v>
      </c>
      <c r="AR279" s="19">
        <f>Table1[[#This Row],[Y_Acryl_Ac]]*Table1[[#This Row],[Ratio_Ac_Fa]]</f>
        <v>2.0999999999999999E-3</v>
      </c>
      <c r="AS279" s="28">
        <f t="shared" si="38"/>
        <v>9.4207746055099448E-2</v>
      </c>
      <c r="AT279" s="29" t="s">
        <v>242</v>
      </c>
      <c r="AU279" s="10" t="s">
        <v>46</v>
      </c>
      <c r="AV279" s="19" t="s">
        <v>67</v>
      </c>
      <c r="AW279" s="10" t="s">
        <v>168</v>
      </c>
      <c r="AX279" s="10">
        <v>2018</v>
      </c>
      <c r="AY279" s="10">
        <v>1</v>
      </c>
      <c r="AZ279" s="20">
        <v>0.74768052424682108</v>
      </c>
      <c r="BA279" s="20">
        <v>0.74768052424682108</v>
      </c>
      <c r="BB279" s="20">
        <v>0.37384026212341054</v>
      </c>
      <c r="BC279" s="20">
        <f>BA279*60*AR279/AY279</f>
        <v>9.4207746055099448E-2</v>
      </c>
      <c r="BD279" s="20">
        <f>BB279*60*AQ279/AY279</f>
        <v>9.4207746055099448E-2</v>
      </c>
    </row>
    <row r="280" spans="1:56" s="18" customFormat="1" ht="18" customHeight="1">
      <c r="A280" s="10">
        <v>279</v>
      </c>
      <c r="B280" s="13"/>
      <c r="C280" s="10" t="s">
        <v>10</v>
      </c>
      <c r="D280" s="10"/>
      <c r="E280" s="27">
        <v>1</v>
      </c>
      <c r="F280" s="10"/>
      <c r="G280" s="10"/>
      <c r="H280" s="27"/>
      <c r="I280" s="10" t="s">
        <v>141</v>
      </c>
      <c r="J280" s="10"/>
      <c r="K280" s="46">
        <f>0.37/1000*6.94</f>
        <v>2.5678000000000003E-3</v>
      </c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50">
        <v>269</v>
      </c>
      <c r="Z280" s="50">
        <v>493</v>
      </c>
      <c r="AA280" s="10" t="s">
        <v>17</v>
      </c>
      <c r="AB280" s="10" t="s">
        <v>311</v>
      </c>
      <c r="AC280" s="20">
        <v>0</v>
      </c>
      <c r="AD280" s="10" t="s">
        <v>44</v>
      </c>
      <c r="AE280" s="10" t="s">
        <v>211</v>
      </c>
      <c r="AF280" s="10" t="s">
        <v>208</v>
      </c>
      <c r="AG280" s="10">
        <v>0.5</v>
      </c>
      <c r="AH280" s="27">
        <v>1</v>
      </c>
      <c r="AI280" s="27">
        <f t="shared" si="39"/>
        <v>3.6</v>
      </c>
      <c r="AJ280" s="27"/>
      <c r="AK280" s="10">
        <v>1</v>
      </c>
      <c r="AL280" s="10">
        <v>663</v>
      </c>
      <c r="AM280" s="19">
        <v>5.0500000000000003E-2</v>
      </c>
      <c r="AN280" s="19">
        <f>Table1[[#This Row],[Y_Acryl_Ac]]/Table1[[#This Row],[X_Ac]]</f>
        <v>0.62970297029702971</v>
      </c>
      <c r="AO280" s="19"/>
      <c r="AP280" s="19"/>
      <c r="AQ280" s="19">
        <v>3.1800000000000002E-2</v>
      </c>
      <c r="AR280" s="19">
        <f>Table1[[#This Row],[Y_Acryl_Ac]]*Table1[[#This Row],[Ratio_Ac_Fa]]</f>
        <v>1.5900000000000001E-2</v>
      </c>
      <c r="AS280" s="28">
        <f t="shared" si="38"/>
        <v>0.71328722013146739</v>
      </c>
      <c r="AT280" s="29" t="s">
        <v>259</v>
      </c>
      <c r="AU280" s="10" t="s">
        <v>46</v>
      </c>
      <c r="AV280" s="19" t="s">
        <v>236</v>
      </c>
      <c r="AW280" s="10" t="s">
        <v>168</v>
      </c>
      <c r="AX280" s="10">
        <v>2018</v>
      </c>
      <c r="AY280" s="10">
        <v>1</v>
      </c>
      <c r="AZ280" s="20">
        <v>0.74768052424682108</v>
      </c>
      <c r="BA280" s="20">
        <v>0.74768052424682108</v>
      </c>
      <c r="BB280" s="20">
        <v>0.37384026212341054</v>
      </c>
      <c r="BC280" s="20">
        <f>BA280*60*AR280/AY280</f>
        <v>0.71328722013146739</v>
      </c>
      <c r="BD280" s="20">
        <f>BB280*60*AQ280/AY280</f>
        <v>0.71328722013146739</v>
      </c>
    </row>
    <row r="281" spans="1:56" s="18" customFormat="1" ht="18" customHeight="1">
      <c r="A281" s="10">
        <v>280</v>
      </c>
      <c r="B281" s="13"/>
      <c r="C281" s="10" t="s">
        <v>10</v>
      </c>
      <c r="D281" s="10"/>
      <c r="E281" s="27">
        <v>1</v>
      </c>
      <c r="F281" s="10"/>
      <c r="G281" s="10"/>
      <c r="H281" s="27"/>
      <c r="I281" s="10" t="s">
        <v>86</v>
      </c>
      <c r="J281" s="10"/>
      <c r="K281" s="46">
        <f>0.37/1000*22.99</f>
        <v>8.5062999999999996E-3</v>
      </c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50">
        <v>224</v>
      </c>
      <c r="Z281" s="50">
        <v>493</v>
      </c>
      <c r="AA281" s="10" t="s">
        <v>17</v>
      </c>
      <c r="AB281" s="10" t="s">
        <v>311</v>
      </c>
      <c r="AC281" s="20">
        <v>0</v>
      </c>
      <c r="AD281" s="10" t="s">
        <v>44</v>
      </c>
      <c r="AE281" s="10" t="s">
        <v>211</v>
      </c>
      <c r="AF281" s="10" t="s">
        <v>208</v>
      </c>
      <c r="AG281" s="10">
        <v>0.5</v>
      </c>
      <c r="AH281" s="27">
        <v>1</v>
      </c>
      <c r="AI281" s="27">
        <f t="shared" si="39"/>
        <v>3.6</v>
      </c>
      <c r="AJ281" s="27"/>
      <c r="AK281" s="10">
        <v>1</v>
      </c>
      <c r="AL281" s="10">
        <v>663</v>
      </c>
      <c r="AM281" s="19">
        <v>6.9199999999999998E-2</v>
      </c>
      <c r="AN281" s="19">
        <f>Table1[[#This Row],[Y_Acryl_Ac]]/Table1[[#This Row],[X_Ac]]</f>
        <v>0.94508670520231219</v>
      </c>
      <c r="AO281" s="19"/>
      <c r="AP281" s="19"/>
      <c r="AQ281" s="19">
        <v>6.54E-2</v>
      </c>
      <c r="AR281" s="19">
        <f>Table1[[#This Row],[Y_Acryl_Ac]]*Table1[[#This Row],[Ratio_Ac_Fa]]</f>
        <v>3.27E-2</v>
      </c>
      <c r="AS281" s="28">
        <f t="shared" si="38"/>
        <v>1.466949188572263</v>
      </c>
      <c r="AT281" s="29" t="s">
        <v>260</v>
      </c>
      <c r="AU281" s="10" t="s">
        <v>46</v>
      </c>
      <c r="AV281" s="19"/>
      <c r="AW281" s="10" t="s">
        <v>168</v>
      </c>
      <c r="AX281" s="10">
        <v>2018</v>
      </c>
      <c r="AY281" s="10">
        <v>1</v>
      </c>
      <c r="AZ281" s="20">
        <v>0.74768052424682108</v>
      </c>
      <c r="BA281" s="20">
        <v>0.74768052424682108</v>
      </c>
      <c r="BB281" s="20">
        <v>0.37384026212341054</v>
      </c>
      <c r="BC281" s="20">
        <f>BA281*60*AR281/AY281</f>
        <v>1.466949188572263</v>
      </c>
      <c r="BD281" s="20">
        <f>BB281*60*AQ281/AY281</f>
        <v>1.466949188572263</v>
      </c>
    </row>
    <row r="282" spans="1:56" s="18" customFormat="1" ht="18" customHeight="1">
      <c r="A282" s="10">
        <v>281</v>
      </c>
      <c r="B282" s="13"/>
      <c r="C282" s="10" t="s">
        <v>10</v>
      </c>
      <c r="D282" s="10"/>
      <c r="E282" s="27">
        <v>1</v>
      </c>
      <c r="F282" s="10"/>
      <c r="G282" s="10"/>
      <c r="H282" s="27"/>
      <c r="I282" s="10" t="s">
        <v>115</v>
      </c>
      <c r="J282" s="10"/>
      <c r="K282" s="46">
        <f>0.37/1000*39.1</f>
        <v>1.4467000000000001E-2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50">
        <v>200</v>
      </c>
      <c r="Z282" s="50">
        <v>493</v>
      </c>
      <c r="AA282" s="10" t="s">
        <v>17</v>
      </c>
      <c r="AB282" s="10" t="s">
        <v>311</v>
      </c>
      <c r="AC282" s="20">
        <v>0</v>
      </c>
      <c r="AD282" s="10" t="s">
        <v>44</v>
      </c>
      <c r="AE282" s="10" t="s">
        <v>211</v>
      </c>
      <c r="AF282" s="10" t="s">
        <v>208</v>
      </c>
      <c r="AG282" s="10">
        <v>0.5</v>
      </c>
      <c r="AH282" s="27">
        <v>1</v>
      </c>
      <c r="AI282" s="27">
        <f t="shared" si="39"/>
        <v>3.6</v>
      </c>
      <c r="AJ282" s="27"/>
      <c r="AK282" s="10">
        <v>1</v>
      </c>
      <c r="AL282" s="10">
        <v>663</v>
      </c>
      <c r="AM282" s="19">
        <v>0.16739999999999999</v>
      </c>
      <c r="AN282" s="19">
        <f>Table1[[#This Row],[Y_Acryl_Ac]]/Table1[[#This Row],[X_Ac]]</f>
        <v>0.98446833930704902</v>
      </c>
      <c r="AO282" s="19"/>
      <c r="AP282" s="19"/>
      <c r="AQ282" s="19">
        <v>0.1648</v>
      </c>
      <c r="AR282" s="19">
        <f>Table1[[#This Row],[Y_Acryl_Ac]]*Table1[[#This Row],[Ratio_Ac_Fa]]</f>
        <v>8.2400000000000001E-2</v>
      </c>
      <c r="AS282" s="28">
        <f t="shared" si="38"/>
        <v>3.6965325118762835</v>
      </c>
      <c r="AT282" s="29" t="s">
        <v>261</v>
      </c>
      <c r="AU282" s="10" t="s">
        <v>46</v>
      </c>
      <c r="AV282" s="19"/>
      <c r="AW282" s="10" t="s">
        <v>168</v>
      </c>
      <c r="AX282" s="10">
        <v>2018</v>
      </c>
      <c r="AY282" s="10">
        <v>1</v>
      </c>
      <c r="AZ282" s="20">
        <v>0.74768052424682108</v>
      </c>
      <c r="BA282" s="20">
        <v>0.74768052424682108</v>
      </c>
      <c r="BB282" s="20">
        <v>0.37384026212341054</v>
      </c>
      <c r="BC282" s="20">
        <f>BA282*60*AR282/AY282</f>
        <v>3.6965325118762835</v>
      </c>
      <c r="BD282" s="20">
        <f>BB282*60*AQ282/AY282</f>
        <v>3.6965325118762835</v>
      </c>
    </row>
    <row r="283" spans="1:56" s="18" customFormat="1" ht="18" customHeight="1">
      <c r="A283" s="10">
        <v>282</v>
      </c>
      <c r="B283" s="13"/>
      <c r="C283" s="10" t="s">
        <v>10</v>
      </c>
      <c r="D283" s="10"/>
      <c r="E283" s="27">
        <v>1</v>
      </c>
      <c r="F283" s="10"/>
      <c r="G283" s="10"/>
      <c r="H283" s="27"/>
      <c r="I283" s="10" t="s">
        <v>45</v>
      </c>
      <c r="J283" s="10"/>
      <c r="K283" s="46">
        <f>0.37/1000*85.47</f>
        <v>3.1623899999999996E-2</v>
      </c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50">
        <v>247</v>
      </c>
      <c r="Z283" s="50">
        <v>493</v>
      </c>
      <c r="AA283" s="10" t="s">
        <v>17</v>
      </c>
      <c r="AB283" s="10" t="s">
        <v>311</v>
      </c>
      <c r="AC283" s="20">
        <v>0</v>
      </c>
      <c r="AD283" s="10" t="s">
        <v>44</v>
      </c>
      <c r="AE283" s="10" t="s">
        <v>211</v>
      </c>
      <c r="AF283" s="10" t="s">
        <v>208</v>
      </c>
      <c r="AG283" s="10">
        <v>0.5</v>
      </c>
      <c r="AH283" s="27">
        <v>1</v>
      </c>
      <c r="AI283" s="27">
        <f t="shared" si="39"/>
        <v>3.6</v>
      </c>
      <c r="AJ283" s="27"/>
      <c r="AK283" s="10">
        <v>1</v>
      </c>
      <c r="AL283" s="10">
        <v>663</v>
      </c>
      <c r="AM283" s="19">
        <v>0.19450000000000001</v>
      </c>
      <c r="AN283" s="19">
        <f>Table1[[#This Row],[Y_Acryl_Ac]]/Table1[[#This Row],[X_Ac]]</f>
        <v>0.9547557840616967</v>
      </c>
      <c r="AO283" s="19"/>
      <c r="AP283" s="19"/>
      <c r="AQ283" s="19">
        <v>0.1857</v>
      </c>
      <c r="AR283" s="19">
        <f>Table1[[#This Row],[Y_Acryl_Ac]]*Table1[[#This Row],[Ratio_Ac_Fa]]</f>
        <v>9.2850000000000002E-2</v>
      </c>
      <c r="AS283" s="28">
        <f t="shared" si="38"/>
        <v>4.1653282005790402</v>
      </c>
      <c r="AT283" s="29" t="s">
        <v>262</v>
      </c>
      <c r="AU283" s="10" t="s">
        <v>46</v>
      </c>
      <c r="AV283" s="19"/>
      <c r="AW283" s="10" t="s">
        <v>168</v>
      </c>
      <c r="AX283" s="10">
        <v>2018</v>
      </c>
      <c r="AY283" s="10">
        <v>1</v>
      </c>
      <c r="AZ283" s="20">
        <v>0.74768052424682108</v>
      </c>
      <c r="BA283" s="20">
        <v>0.74768052424682108</v>
      </c>
      <c r="BB283" s="20">
        <v>0.37384026212341054</v>
      </c>
      <c r="BC283" s="20">
        <f>BA283*60*AR283/AY283</f>
        <v>4.1653282005790402</v>
      </c>
      <c r="BD283" s="20">
        <f>BB283*60*AQ283/AY283</f>
        <v>4.1653282005790402</v>
      </c>
    </row>
    <row r="284" spans="1:56" s="18" customFormat="1" ht="18" customHeight="1">
      <c r="A284" s="10">
        <v>283</v>
      </c>
      <c r="B284" s="13"/>
      <c r="C284" s="10" t="s">
        <v>10</v>
      </c>
      <c r="D284" s="10"/>
      <c r="E284" s="27">
        <v>1</v>
      </c>
      <c r="F284" s="10"/>
      <c r="G284" s="10"/>
      <c r="H284" s="27"/>
      <c r="I284" s="10" t="s">
        <v>0</v>
      </c>
      <c r="J284" s="10"/>
      <c r="K284" s="46">
        <f t="shared" ref="K284:K294" si="40">0.37/1000*132.91</f>
        <v>4.9176699999999997E-2</v>
      </c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50">
        <v>266</v>
      </c>
      <c r="Z284" s="50">
        <v>493</v>
      </c>
      <c r="AA284" s="10" t="s">
        <v>17</v>
      </c>
      <c r="AB284" s="10" t="s">
        <v>311</v>
      </c>
      <c r="AC284" s="20">
        <v>0</v>
      </c>
      <c r="AD284" s="10" t="s">
        <v>44</v>
      </c>
      <c r="AE284" s="10" t="s">
        <v>211</v>
      </c>
      <c r="AF284" s="10" t="s">
        <v>208</v>
      </c>
      <c r="AG284" s="10">
        <v>0.5</v>
      </c>
      <c r="AH284" s="27">
        <v>1</v>
      </c>
      <c r="AI284" s="27">
        <f t="shared" si="39"/>
        <v>3.6</v>
      </c>
      <c r="AJ284" s="27"/>
      <c r="AK284" s="10">
        <v>1</v>
      </c>
      <c r="AL284" s="10">
        <v>663</v>
      </c>
      <c r="AM284" s="19">
        <v>0.20749999999999999</v>
      </c>
      <c r="AN284" s="19">
        <f>Table1[[#This Row],[Y_Acryl_Ac]]/Table1[[#This Row],[X_Ac]]</f>
        <v>0.98843373493975906</v>
      </c>
      <c r="AO284" s="19"/>
      <c r="AP284" s="19"/>
      <c r="AQ284" s="19">
        <v>0.2051</v>
      </c>
      <c r="AR284" s="19">
        <f>Table1[[#This Row],[Y_Acryl_Ac]]*Table1[[#This Row],[Ratio_Ac_Fa]]</f>
        <v>0.10255</v>
      </c>
      <c r="AS284" s="28">
        <f t="shared" si="38"/>
        <v>4.6004782656906906</v>
      </c>
      <c r="AT284" s="29" t="s">
        <v>263</v>
      </c>
      <c r="AU284" s="10" t="s">
        <v>46</v>
      </c>
      <c r="AV284" s="19"/>
      <c r="AW284" s="10" t="s">
        <v>168</v>
      </c>
      <c r="AX284" s="10">
        <v>2018</v>
      </c>
      <c r="AY284" s="10">
        <v>1</v>
      </c>
      <c r="AZ284" s="20">
        <v>0.74768052424682108</v>
      </c>
      <c r="BA284" s="20">
        <v>0.74768052424682108</v>
      </c>
      <c r="BB284" s="20">
        <v>0.37384026212341054</v>
      </c>
      <c r="BC284" s="20">
        <f>BA284*60*AR284/AY284</f>
        <v>4.6004782656906906</v>
      </c>
      <c r="BD284" s="20">
        <f>BB284*60*AQ284/AY284</f>
        <v>4.6004782656906906</v>
      </c>
    </row>
    <row r="285" spans="1:56" s="18" customFormat="1" ht="18" customHeight="1">
      <c r="A285" s="10">
        <v>284</v>
      </c>
      <c r="B285" s="13"/>
      <c r="C285" s="10" t="s">
        <v>10</v>
      </c>
      <c r="D285" s="10"/>
      <c r="E285" s="27">
        <v>1</v>
      </c>
      <c r="F285" s="10"/>
      <c r="G285" s="10"/>
      <c r="H285" s="27"/>
      <c r="I285" s="10" t="s">
        <v>0</v>
      </c>
      <c r="J285" s="10"/>
      <c r="K285" s="46">
        <f t="shared" si="40"/>
        <v>4.9176699999999997E-2</v>
      </c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50">
        <v>266</v>
      </c>
      <c r="Z285" s="50">
        <v>493</v>
      </c>
      <c r="AA285" s="10" t="s">
        <v>17</v>
      </c>
      <c r="AB285" s="10" t="s">
        <v>311</v>
      </c>
      <c r="AC285" s="20">
        <v>0</v>
      </c>
      <c r="AD285" s="10" t="s">
        <v>44</v>
      </c>
      <c r="AE285" s="10" t="s">
        <v>211</v>
      </c>
      <c r="AF285" s="10" t="s">
        <v>208</v>
      </c>
      <c r="AG285" s="10">
        <v>0.5</v>
      </c>
      <c r="AH285" s="27">
        <v>1</v>
      </c>
      <c r="AI285" s="27">
        <f>0.5*2/1</f>
        <v>1</v>
      </c>
      <c r="AJ285" s="27"/>
      <c r="AK285" s="10">
        <v>1</v>
      </c>
      <c r="AL285" s="10">
        <v>663</v>
      </c>
      <c r="AM285" s="19"/>
      <c r="AN285" s="19"/>
      <c r="AO285" s="19"/>
      <c r="AP285" s="19"/>
      <c r="AQ285" s="19">
        <v>0.29402823566200897</v>
      </c>
      <c r="AR285" s="19">
        <f>Table1[[#This Row],[Y_Acryl_Ac]]*Table1[[#This Row],[Ratio_Ac_Fa]]</f>
        <v>0.14701411783100449</v>
      </c>
      <c r="AS285" s="28">
        <f t="shared" si="38"/>
        <v>1.8319932115261559</v>
      </c>
      <c r="AT285" s="29" t="s">
        <v>265</v>
      </c>
      <c r="AU285" s="10" t="s">
        <v>46</v>
      </c>
      <c r="AV285" s="19"/>
      <c r="AW285" s="10" t="s">
        <v>168</v>
      </c>
      <c r="AX285" s="10">
        <v>2018</v>
      </c>
      <c r="AY285" s="10">
        <v>1</v>
      </c>
      <c r="AZ285" s="20">
        <v>0.20768903451300585</v>
      </c>
      <c r="BA285" s="20">
        <v>0.20768903451300585</v>
      </c>
      <c r="BB285" s="20">
        <v>0.10384451725650293</v>
      </c>
      <c r="BC285" s="20">
        <f>BA285*60*AR285/AY285</f>
        <v>1.8319932115261559</v>
      </c>
      <c r="BD285" s="20">
        <f>BB285*60*AQ285/AY285</f>
        <v>1.8319932115261559</v>
      </c>
    </row>
    <row r="286" spans="1:56" s="18" customFormat="1" ht="18" customHeight="1">
      <c r="A286" s="10">
        <v>285</v>
      </c>
      <c r="B286" s="13"/>
      <c r="C286" s="10" t="s">
        <v>10</v>
      </c>
      <c r="D286" s="10"/>
      <c r="E286" s="27">
        <v>1</v>
      </c>
      <c r="F286" s="10"/>
      <c r="G286" s="10"/>
      <c r="H286" s="27"/>
      <c r="I286" s="10" t="s">
        <v>0</v>
      </c>
      <c r="J286" s="10"/>
      <c r="K286" s="46">
        <f t="shared" si="40"/>
        <v>4.9176699999999997E-2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50">
        <v>266</v>
      </c>
      <c r="Z286" s="50">
        <v>493</v>
      </c>
      <c r="AA286" s="10" t="s">
        <v>17</v>
      </c>
      <c r="AB286" s="10" t="s">
        <v>311</v>
      </c>
      <c r="AC286" s="20">
        <v>0</v>
      </c>
      <c r="AD286" s="10" t="s">
        <v>44</v>
      </c>
      <c r="AE286" s="10" t="s">
        <v>211</v>
      </c>
      <c r="AF286" s="10" t="s">
        <v>208</v>
      </c>
      <c r="AG286" s="10">
        <v>0.5</v>
      </c>
      <c r="AH286" s="27">
        <v>1</v>
      </c>
      <c r="AI286" s="27">
        <f>1.8*2/1</f>
        <v>3.6</v>
      </c>
      <c r="AJ286" s="27"/>
      <c r="AK286" s="10">
        <v>1</v>
      </c>
      <c r="AL286" s="10">
        <v>663</v>
      </c>
      <c r="AM286" s="19"/>
      <c r="AN286" s="19"/>
      <c r="AO286" s="19"/>
      <c r="AP286" s="19"/>
      <c r="AQ286" s="19">
        <v>0.268735619409261</v>
      </c>
      <c r="AR286" s="19">
        <f>Table1[[#This Row],[Y_Acryl_Ac]]*Table1[[#This Row],[Ratio_Ac_Fa]]</f>
        <v>0.1343678097046305</v>
      </c>
      <c r="AS286" s="28">
        <f t="shared" si="38"/>
        <v>6.0278516641113136</v>
      </c>
      <c r="AT286" s="29" t="s">
        <v>266</v>
      </c>
      <c r="AU286" s="10" t="s">
        <v>46</v>
      </c>
      <c r="AV286" s="19"/>
      <c r="AW286" s="10" t="s">
        <v>168</v>
      </c>
      <c r="AX286" s="10">
        <v>2018</v>
      </c>
      <c r="AY286" s="10">
        <v>1</v>
      </c>
      <c r="AZ286" s="20">
        <v>0.74768052424682108</v>
      </c>
      <c r="BA286" s="20">
        <v>0.74768052424682108</v>
      </c>
      <c r="BB286" s="20">
        <v>0.37384026212341054</v>
      </c>
      <c r="BC286" s="20">
        <f>BA286*60*AR286/AY286</f>
        <v>6.0278516641113136</v>
      </c>
      <c r="BD286" s="20">
        <f>BB286*60*AQ286/AY286</f>
        <v>6.0278516641113136</v>
      </c>
    </row>
    <row r="287" spans="1:56" s="18" customFormat="1" ht="18" customHeight="1">
      <c r="A287" s="10">
        <v>286</v>
      </c>
      <c r="B287" s="13"/>
      <c r="C287" s="10" t="s">
        <v>10</v>
      </c>
      <c r="D287" s="10"/>
      <c r="E287" s="27">
        <v>1</v>
      </c>
      <c r="F287" s="10"/>
      <c r="G287" s="10"/>
      <c r="H287" s="27"/>
      <c r="I287" s="10" t="s">
        <v>0</v>
      </c>
      <c r="J287" s="10"/>
      <c r="K287" s="46">
        <f t="shared" si="40"/>
        <v>4.9176699999999997E-2</v>
      </c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50">
        <v>266</v>
      </c>
      <c r="Z287" s="50">
        <v>493</v>
      </c>
      <c r="AA287" s="10" t="s">
        <v>17</v>
      </c>
      <c r="AB287" s="10" t="s">
        <v>311</v>
      </c>
      <c r="AC287" s="20">
        <v>0</v>
      </c>
      <c r="AD287" s="10" t="s">
        <v>44</v>
      </c>
      <c r="AE287" s="10" t="s">
        <v>211</v>
      </c>
      <c r="AF287" s="10" t="s">
        <v>208</v>
      </c>
      <c r="AG287" s="10">
        <v>0.5</v>
      </c>
      <c r="AH287" s="27">
        <v>1</v>
      </c>
      <c r="AI287" s="27">
        <f>2.7*2/1</f>
        <v>5.4</v>
      </c>
      <c r="AJ287" s="27"/>
      <c r="AK287" s="10">
        <v>1</v>
      </c>
      <c r="AL287" s="10">
        <v>663</v>
      </c>
      <c r="AM287" s="19"/>
      <c r="AN287" s="19"/>
      <c r="AO287" s="19"/>
      <c r="AP287" s="19"/>
      <c r="AQ287" s="19">
        <v>0.19213668364969899</v>
      </c>
      <c r="AR287" s="19">
        <f>Table1[[#This Row],[Y_Acryl_Ac]]*Table1[[#This Row],[Ratio_Ac_Fa]]</f>
        <v>9.6068341824849496E-2</v>
      </c>
      <c r="AS287" s="28">
        <f t="shared" si="38"/>
        <v>6.4645585361213644</v>
      </c>
      <c r="AT287" s="29" t="s">
        <v>267</v>
      </c>
      <c r="AU287" s="10" t="s">
        <v>46</v>
      </c>
      <c r="AV287" s="19"/>
      <c r="AW287" s="10" t="s">
        <v>168</v>
      </c>
      <c r="AX287" s="10">
        <v>2018</v>
      </c>
      <c r="AY287" s="10">
        <v>1</v>
      </c>
      <c r="AZ287" s="20">
        <v>1.1215207863702317</v>
      </c>
      <c r="BA287" s="20">
        <v>1.1215207863702317</v>
      </c>
      <c r="BB287" s="20">
        <v>0.56076039318511584</v>
      </c>
      <c r="BC287" s="20">
        <f>BA287*60*AR287/AY287</f>
        <v>6.4645585361213644</v>
      </c>
      <c r="BD287" s="20">
        <f>BB287*60*AQ287/AY287</f>
        <v>6.4645585361213644</v>
      </c>
    </row>
    <row r="288" spans="1:56" s="18" customFormat="1" ht="18" customHeight="1">
      <c r="A288" s="10">
        <v>287</v>
      </c>
      <c r="B288" s="13"/>
      <c r="C288" s="10" t="s">
        <v>10</v>
      </c>
      <c r="D288" s="10"/>
      <c r="E288" s="27">
        <v>1</v>
      </c>
      <c r="F288" s="10"/>
      <c r="G288" s="10"/>
      <c r="H288" s="27"/>
      <c r="I288" s="10" t="s">
        <v>0</v>
      </c>
      <c r="J288" s="10"/>
      <c r="K288" s="46">
        <f t="shared" si="40"/>
        <v>4.9176699999999997E-2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50">
        <v>266</v>
      </c>
      <c r="Z288" s="50">
        <v>493</v>
      </c>
      <c r="AA288" s="10" t="s">
        <v>17</v>
      </c>
      <c r="AB288" s="10" t="s">
        <v>311</v>
      </c>
      <c r="AC288" s="20">
        <v>0</v>
      </c>
      <c r="AD288" s="10" t="s">
        <v>44</v>
      </c>
      <c r="AE288" s="10" t="s">
        <v>211</v>
      </c>
      <c r="AF288" s="10" t="s">
        <v>208</v>
      </c>
      <c r="AG288" s="10">
        <v>0.5</v>
      </c>
      <c r="AH288" s="27">
        <v>1</v>
      </c>
      <c r="AI288" s="27">
        <f>1.8*2/1</f>
        <v>3.6</v>
      </c>
      <c r="AJ288" s="27"/>
      <c r="AK288" s="10">
        <v>1</v>
      </c>
      <c r="AL288" s="10">
        <v>618</v>
      </c>
      <c r="AM288" s="19"/>
      <c r="AN288" s="19"/>
      <c r="AO288" s="19"/>
      <c r="AP288" s="19"/>
      <c r="AQ288" s="19">
        <v>0.122571880503689</v>
      </c>
      <c r="AR288" s="19">
        <f>Table1[[#This Row],[Y_Acryl_Ac]]*Table1[[#This Row],[Ratio_Ac_Fa]]</f>
        <v>6.1285940251844501E-2</v>
      </c>
      <c r="AS288" s="28">
        <f t="shared" si="38"/>
        <v>2.7493382361875072</v>
      </c>
      <c r="AT288" s="29" t="s">
        <v>270</v>
      </c>
      <c r="AU288" s="10" t="s">
        <v>46</v>
      </c>
      <c r="AV288" s="19"/>
      <c r="AW288" s="10" t="s">
        <v>168</v>
      </c>
      <c r="AX288" s="10">
        <v>2018</v>
      </c>
      <c r="AY288" s="10">
        <v>1</v>
      </c>
      <c r="AZ288" s="20">
        <v>0.74768052424682108</v>
      </c>
      <c r="BA288" s="20">
        <v>0.74768052424682108</v>
      </c>
      <c r="BB288" s="20">
        <v>0.37384026212341054</v>
      </c>
      <c r="BC288" s="20">
        <f>BA288*60*AR288/AY288</f>
        <v>2.7493382361875072</v>
      </c>
      <c r="BD288" s="20">
        <f>BB288*60*AQ288/AY288</f>
        <v>2.7493382361875072</v>
      </c>
    </row>
    <row r="289" spans="1:56" s="18" customFormat="1" ht="18" customHeight="1">
      <c r="A289" s="10">
        <v>288</v>
      </c>
      <c r="B289" s="13"/>
      <c r="C289" s="10" t="s">
        <v>10</v>
      </c>
      <c r="D289" s="10"/>
      <c r="E289" s="27">
        <v>1</v>
      </c>
      <c r="F289" s="10"/>
      <c r="G289" s="10"/>
      <c r="H289" s="27"/>
      <c r="I289" s="10" t="s">
        <v>0</v>
      </c>
      <c r="J289" s="10"/>
      <c r="K289" s="46">
        <f t="shared" si="40"/>
        <v>4.9176699999999997E-2</v>
      </c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50">
        <v>266</v>
      </c>
      <c r="Z289" s="50">
        <v>493</v>
      </c>
      <c r="AA289" s="10" t="s">
        <v>17</v>
      </c>
      <c r="AB289" s="10" t="s">
        <v>311</v>
      </c>
      <c r="AC289" s="20">
        <v>0</v>
      </c>
      <c r="AD289" s="10" t="s">
        <v>44</v>
      </c>
      <c r="AE289" s="10" t="s">
        <v>211</v>
      </c>
      <c r="AF289" s="10" t="s">
        <v>208</v>
      </c>
      <c r="AG289" s="10">
        <v>0.5</v>
      </c>
      <c r="AH289" s="27">
        <v>1</v>
      </c>
      <c r="AI289" s="27">
        <f>1.8*2/1</f>
        <v>3.6</v>
      </c>
      <c r="AJ289" s="27"/>
      <c r="AK289" s="10">
        <v>1</v>
      </c>
      <c r="AL289" s="10">
        <v>648</v>
      </c>
      <c r="AM289" s="19"/>
      <c r="AN289" s="19"/>
      <c r="AO289" s="19"/>
      <c r="AP289" s="19"/>
      <c r="AQ289" s="19">
        <v>0.216209306210327</v>
      </c>
      <c r="AR289" s="19">
        <f>Table1[[#This Row],[Y_Acryl_Ac]]*Table1[[#This Row],[Ratio_Ac_Fa]]</f>
        <v>0.1081046531051635</v>
      </c>
      <c r="AS289" s="28">
        <f t="shared" si="38"/>
        <v>4.8496646224313631</v>
      </c>
      <c r="AT289" s="29" t="s">
        <v>272</v>
      </c>
      <c r="AU289" s="10" t="s">
        <v>46</v>
      </c>
      <c r="AV289" s="19"/>
      <c r="AW289" s="10" t="s">
        <v>168</v>
      </c>
      <c r="AX289" s="10">
        <v>2018</v>
      </c>
      <c r="AY289" s="10">
        <v>1</v>
      </c>
      <c r="AZ289" s="20">
        <v>0.74768052424682108</v>
      </c>
      <c r="BA289" s="20">
        <v>0.74768052424682108</v>
      </c>
      <c r="BB289" s="20">
        <v>0.37384026212341054</v>
      </c>
      <c r="BC289" s="20">
        <f>BA289*60*AR289/AY289</f>
        <v>4.8496646224313631</v>
      </c>
      <c r="BD289" s="20">
        <f>BB289*60*AQ289/AY289</f>
        <v>4.8496646224313631</v>
      </c>
    </row>
    <row r="290" spans="1:56" s="18" customFormat="1" ht="18" customHeight="1">
      <c r="A290" s="10">
        <v>289</v>
      </c>
      <c r="B290" s="13"/>
      <c r="C290" s="10" t="s">
        <v>10</v>
      </c>
      <c r="D290" s="10"/>
      <c r="E290" s="27">
        <v>1</v>
      </c>
      <c r="F290" s="10"/>
      <c r="G290" s="10"/>
      <c r="H290" s="27"/>
      <c r="I290" s="10" t="s">
        <v>0</v>
      </c>
      <c r="J290" s="10"/>
      <c r="K290" s="46">
        <f t="shared" si="40"/>
        <v>4.9176699999999997E-2</v>
      </c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50">
        <v>266</v>
      </c>
      <c r="Z290" s="50">
        <v>493</v>
      </c>
      <c r="AA290" s="10" t="s">
        <v>17</v>
      </c>
      <c r="AB290" s="10" t="s">
        <v>311</v>
      </c>
      <c r="AC290" s="20">
        <v>0</v>
      </c>
      <c r="AD290" s="10" t="s">
        <v>44</v>
      </c>
      <c r="AE290" s="10" t="s">
        <v>211</v>
      </c>
      <c r="AF290" s="10" t="s">
        <v>208</v>
      </c>
      <c r="AG290" s="10">
        <v>0.5</v>
      </c>
      <c r="AH290" s="27">
        <v>1</v>
      </c>
      <c r="AI290" s="27">
        <f>1.8*2/1</f>
        <v>3.6</v>
      </c>
      <c r="AJ290" s="27"/>
      <c r="AK290" s="10">
        <v>1</v>
      </c>
      <c r="AL290" s="10">
        <v>678</v>
      </c>
      <c r="AM290" s="19"/>
      <c r="AN290" s="19"/>
      <c r="AO290" s="19"/>
      <c r="AP290" s="19"/>
      <c r="AQ290" s="19">
        <v>0.28317770480770599</v>
      </c>
      <c r="AR290" s="19">
        <f>Table1[[#This Row],[Y_Acryl_Ac]]*Table1[[#This Row],[Ratio_Ac_Fa]]</f>
        <v>0.14158885240385299</v>
      </c>
      <c r="AS290" s="28">
        <f t="shared" si="38"/>
        <v>6.3517936435691151</v>
      </c>
      <c r="AT290" s="29" t="s">
        <v>273</v>
      </c>
      <c r="AU290" s="10" t="s">
        <v>46</v>
      </c>
      <c r="AV290" s="19"/>
      <c r="AW290" s="10" t="s">
        <v>168</v>
      </c>
      <c r="AX290" s="10">
        <v>2018</v>
      </c>
      <c r="AY290" s="10">
        <v>1</v>
      </c>
      <c r="AZ290" s="20">
        <v>0.74768052424682108</v>
      </c>
      <c r="BA290" s="20">
        <v>0.74768052424682108</v>
      </c>
      <c r="BB290" s="20">
        <v>0.37384026212341054</v>
      </c>
      <c r="BC290" s="20">
        <f>BA290*60*AR290/AY290</f>
        <v>6.3517936435691151</v>
      </c>
      <c r="BD290" s="20">
        <f>BB290*60*AQ290/AY290</f>
        <v>6.3517936435691151</v>
      </c>
    </row>
    <row r="291" spans="1:56" s="18" customFormat="1" ht="18" customHeight="1">
      <c r="A291" s="10">
        <v>290</v>
      </c>
      <c r="B291" s="13"/>
      <c r="C291" s="10" t="s">
        <v>10</v>
      </c>
      <c r="D291" s="10"/>
      <c r="E291" s="27">
        <v>1</v>
      </c>
      <c r="F291" s="10"/>
      <c r="G291" s="10"/>
      <c r="H291" s="27"/>
      <c r="I291" s="10" t="s">
        <v>0</v>
      </c>
      <c r="J291" s="10"/>
      <c r="K291" s="46">
        <f t="shared" si="40"/>
        <v>4.9176699999999997E-2</v>
      </c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50">
        <v>266</v>
      </c>
      <c r="Z291" s="50">
        <v>493</v>
      </c>
      <c r="AA291" s="10" t="s">
        <v>17</v>
      </c>
      <c r="AB291" s="10" t="s">
        <v>311</v>
      </c>
      <c r="AC291" s="20">
        <v>0</v>
      </c>
      <c r="AD291" s="10" t="s">
        <v>44</v>
      </c>
      <c r="AE291" s="10" t="s">
        <v>211</v>
      </c>
      <c r="AF291" s="10" t="s">
        <v>208</v>
      </c>
      <c r="AG291" s="10">
        <v>0.5</v>
      </c>
      <c r="AH291" s="27">
        <v>1</v>
      </c>
      <c r="AI291" s="27">
        <f>1.8*2/1</f>
        <v>3.6</v>
      </c>
      <c r="AJ291" s="27"/>
      <c r="AK291" s="10">
        <v>1</v>
      </c>
      <c r="AL291" s="10">
        <v>708</v>
      </c>
      <c r="AM291" s="19"/>
      <c r="AN291" s="19"/>
      <c r="AO291" s="19"/>
      <c r="AP291" s="19"/>
      <c r="AQ291" s="19">
        <v>0.261363223909161</v>
      </c>
      <c r="AR291" s="19">
        <f>Table1[[#This Row],[Y_Acryl_Ac]]*Table1[[#This Row],[Ratio_Ac_Fa]]</f>
        <v>0.1306816119545805</v>
      </c>
      <c r="AS291" s="28">
        <f t="shared" si="38"/>
        <v>5.8624857681372236</v>
      </c>
      <c r="AT291" s="29" t="s">
        <v>271</v>
      </c>
      <c r="AU291" s="10" t="s">
        <v>46</v>
      </c>
      <c r="AV291" s="19"/>
      <c r="AW291" s="10" t="s">
        <v>168</v>
      </c>
      <c r="AX291" s="10">
        <v>2018</v>
      </c>
      <c r="AY291" s="10">
        <v>1</v>
      </c>
      <c r="AZ291" s="20">
        <v>0.74768052424682108</v>
      </c>
      <c r="BA291" s="20">
        <v>0.74768052424682108</v>
      </c>
      <c r="BB291" s="20">
        <v>0.37384026212341054</v>
      </c>
      <c r="BC291" s="20">
        <f>BA291*60*AR291/AY291</f>
        <v>5.8624857681372236</v>
      </c>
      <c r="BD291" s="20">
        <f>BB291*60*AQ291/AY291</f>
        <v>5.8624857681372236</v>
      </c>
    </row>
    <row r="292" spans="1:56" s="18" customFormat="1" ht="18" customHeight="1">
      <c r="A292" s="10">
        <v>291</v>
      </c>
      <c r="B292" s="13"/>
      <c r="C292" s="10" t="s">
        <v>10</v>
      </c>
      <c r="D292" s="10"/>
      <c r="E292" s="27">
        <v>1</v>
      </c>
      <c r="F292" s="10"/>
      <c r="G292" s="10"/>
      <c r="H292" s="27"/>
      <c r="I292" s="10" t="s">
        <v>0</v>
      </c>
      <c r="J292" s="10"/>
      <c r="K292" s="46">
        <f t="shared" si="40"/>
        <v>4.9176699999999997E-2</v>
      </c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50">
        <v>266</v>
      </c>
      <c r="Z292" s="50">
        <v>493</v>
      </c>
      <c r="AA292" s="10" t="s">
        <v>17</v>
      </c>
      <c r="AB292" s="10" t="s">
        <v>311</v>
      </c>
      <c r="AC292" s="20">
        <v>0</v>
      </c>
      <c r="AD292" s="10" t="s">
        <v>44</v>
      </c>
      <c r="AE292" s="10" t="s">
        <v>211</v>
      </c>
      <c r="AF292" s="10" t="s">
        <v>208</v>
      </c>
      <c r="AG292" s="10">
        <v>1</v>
      </c>
      <c r="AH292" s="27">
        <f>2/1.5</f>
        <v>1.3333333333333333</v>
      </c>
      <c r="AI292" s="27">
        <f t="shared" ref="AI292:AI305" si="41">0.9*2/1</f>
        <v>1.8</v>
      </c>
      <c r="AJ292" s="27"/>
      <c r="AK292" s="10">
        <v>1</v>
      </c>
      <c r="AL292" s="10">
        <v>663</v>
      </c>
      <c r="AM292" s="19"/>
      <c r="AN292" s="19"/>
      <c r="AO292" s="19"/>
      <c r="AP292" s="19"/>
      <c r="AQ292" s="19">
        <v>0.246184865536795</v>
      </c>
      <c r="AR292" s="19">
        <f>Table1[[#This Row],[Y_Acryl_Ac]]*Table1[[#This Row],[Ratio_Ac_Fa]]</f>
        <v>0.246184865536795</v>
      </c>
      <c r="AS292" s="28">
        <f t="shared" si="38"/>
        <v>3.3195314038506671</v>
      </c>
      <c r="AT292" s="29" t="s">
        <v>269</v>
      </c>
      <c r="AU292" s="10" t="s">
        <v>46</v>
      </c>
      <c r="AV292" s="19"/>
      <c r="AW292" s="10" t="s">
        <v>168</v>
      </c>
      <c r="AX292" s="10">
        <v>2018</v>
      </c>
      <c r="AY292" s="10">
        <v>1</v>
      </c>
      <c r="AZ292" s="20">
        <v>0.2996421586240422</v>
      </c>
      <c r="BA292" s="20">
        <v>0.22473161896803162</v>
      </c>
      <c r="BB292" s="20">
        <v>0.22473161896803165</v>
      </c>
      <c r="BC292" s="20">
        <f>BA292*60*AR292/AY292</f>
        <v>3.3195314038506667</v>
      </c>
      <c r="BD292" s="20">
        <f>BB292*60*AQ292/AY292</f>
        <v>3.3195314038506671</v>
      </c>
    </row>
    <row r="293" spans="1:56" s="18" customFormat="1" ht="18" customHeight="1">
      <c r="A293" s="10">
        <v>292</v>
      </c>
      <c r="B293" s="13"/>
      <c r="C293" s="10" t="s">
        <v>10</v>
      </c>
      <c r="D293" s="10"/>
      <c r="E293" s="27">
        <v>1</v>
      </c>
      <c r="F293" s="10"/>
      <c r="G293" s="10"/>
      <c r="H293" s="27"/>
      <c r="I293" s="10" t="s">
        <v>0</v>
      </c>
      <c r="J293" s="10"/>
      <c r="K293" s="46">
        <f t="shared" si="40"/>
        <v>4.9176699999999997E-2</v>
      </c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50">
        <v>266</v>
      </c>
      <c r="Z293" s="50">
        <v>493</v>
      </c>
      <c r="AA293" s="10" t="s">
        <v>17</v>
      </c>
      <c r="AB293" s="10" t="s">
        <v>311</v>
      </c>
      <c r="AC293" s="20">
        <v>0</v>
      </c>
      <c r="AD293" s="10" t="s">
        <v>44</v>
      </c>
      <c r="AE293" s="10" t="s">
        <v>211</v>
      </c>
      <c r="AF293" s="10" t="s">
        <v>208</v>
      </c>
      <c r="AG293" s="10">
        <v>2</v>
      </c>
      <c r="AH293" s="27">
        <v>2</v>
      </c>
      <c r="AI293" s="27">
        <f t="shared" si="41"/>
        <v>1.8</v>
      </c>
      <c r="AJ293" s="27"/>
      <c r="AK293" s="10">
        <v>1</v>
      </c>
      <c r="AL293" s="10">
        <v>663</v>
      </c>
      <c r="AM293" s="19"/>
      <c r="AN293" s="19"/>
      <c r="AO293" s="19"/>
      <c r="AP293" s="19"/>
      <c r="AQ293" s="19">
        <v>0.15163273242448799</v>
      </c>
      <c r="AR293" s="19">
        <f>Table1[[#This Row],[Y_Acryl_Ac]]*Table1[[#This Row],[Ratio_Ac_Fa]]</f>
        <v>0.30326546484897599</v>
      </c>
      <c r="AS293" s="28">
        <f t="shared" si="38"/>
        <v>2.274667888387726</v>
      </c>
      <c r="AT293" s="29" t="s">
        <v>268</v>
      </c>
      <c r="AU293" s="10" t="s">
        <v>46</v>
      </c>
      <c r="AV293" s="19"/>
      <c r="AW293" s="10" t="s">
        <v>168</v>
      </c>
      <c r="AX293" s="10">
        <v>2018</v>
      </c>
      <c r="AY293" s="10">
        <v>1</v>
      </c>
      <c r="AZ293" s="20">
        <v>0.25001944413293642</v>
      </c>
      <c r="BA293" s="20">
        <v>0.12500972206646818</v>
      </c>
      <c r="BB293" s="20">
        <v>0.25001944413293642</v>
      </c>
      <c r="BC293" s="20">
        <f>BA293*60*AR293/AY293</f>
        <v>2.274667888387726</v>
      </c>
      <c r="BD293" s="20">
        <f>BB293*60*AQ293/AY293</f>
        <v>2.274667888387726</v>
      </c>
    </row>
    <row r="294" spans="1:56" s="18" customFormat="1" ht="18" customHeight="1">
      <c r="A294" s="10">
        <v>293</v>
      </c>
      <c r="B294" s="13"/>
      <c r="C294" s="10" t="s">
        <v>10</v>
      </c>
      <c r="D294" s="10"/>
      <c r="E294" s="27">
        <v>1</v>
      </c>
      <c r="F294" s="10"/>
      <c r="G294" s="10"/>
      <c r="H294" s="27"/>
      <c r="I294" s="10" t="s">
        <v>0</v>
      </c>
      <c r="J294" s="10"/>
      <c r="K294" s="46">
        <f t="shared" si="40"/>
        <v>4.9176699999999997E-2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50">
        <v>266</v>
      </c>
      <c r="Z294" s="50">
        <v>493</v>
      </c>
      <c r="AA294" s="10" t="s">
        <v>17</v>
      </c>
      <c r="AB294" s="10" t="s">
        <v>311</v>
      </c>
      <c r="AC294" s="20">
        <v>0</v>
      </c>
      <c r="AD294" s="10" t="s">
        <v>44</v>
      </c>
      <c r="AE294" s="10" t="s">
        <v>211</v>
      </c>
      <c r="AF294" s="10" t="s">
        <v>208</v>
      </c>
      <c r="AG294" s="10">
        <v>0.5</v>
      </c>
      <c r="AH294" s="27">
        <v>1</v>
      </c>
      <c r="AI294" s="27">
        <f t="shared" si="41"/>
        <v>1.8</v>
      </c>
      <c r="AJ294" s="27"/>
      <c r="AK294" s="10">
        <v>1</v>
      </c>
      <c r="AL294" s="10">
        <v>663</v>
      </c>
      <c r="AM294" s="19">
        <v>0.30894752963066202</v>
      </c>
      <c r="AN294" s="19">
        <v>0.92305475504322698</v>
      </c>
      <c r="AO294" s="19"/>
      <c r="AP294" s="19"/>
      <c r="AQ294" s="19">
        <f>Table1[[#This Row],[X_Ac]]*Table1[[#This Row],[S_Acryl_Ac]]</f>
        <v>0.28517548628444084</v>
      </c>
      <c r="AR294" s="19">
        <f>Table1[[#This Row],[Y_Acryl_Ac]]*Table1[[#This Row],[Ratio_Ac_Fa]]</f>
        <v>0.14258774314222042</v>
      </c>
      <c r="AS294" s="28">
        <f t="shared" si="38"/>
        <v>3.1983023563123929</v>
      </c>
      <c r="AT294" s="29" t="s">
        <v>264</v>
      </c>
      <c r="AU294" s="10" t="s">
        <v>46</v>
      </c>
      <c r="AV294" s="19"/>
      <c r="AW294" s="10" t="s">
        <v>168</v>
      </c>
      <c r="AX294" s="10">
        <v>2018</v>
      </c>
      <c r="AY294" s="10">
        <v>1</v>
      </c>
      <c r="AZ294" s="20">
        <v>0.37384026212341054</v>
      </c>
      <c r="BA294" s="20">
        <v>0.37384026212341054</v>
      </c>
      <c r="BB294" s="20">
        <v>0.18692013106170527</v>
      </c>
      <c r="BC294" s="20">
        <f>BA294*60*AR294/AY294</f>
        <v>3.1983023563123929</v>
      </c>
      <c r="BD294" s="20">
        <f>BB294*60*AQ294/AY294</f>
        <v>3.1983023563123929</v>
      </c>
    </row>
    <row r="295" spans="1:56" s="18" customFormat="1">
      <c r="A295" s="10">
        <v>294</v>
      </c>
      <c r="B295" s="13">
        <v>1</v>
      </c>
      <c r="C295" s="10" t="s">
        <v>10</v>
      </c>
      <c r="D295" s="10"/>
      <c r="E295" s="27">
        <v>1</v>
      </c>
      <c r="F295" s="10"/>
      <c r="G295" s="10"/>
      <c r="H295" s="27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50">
        <v>573</v>
      </c>
      <c r="Z295" s="10"/>
      <c r="AA295" s="10" t="s">
        <v>4</v>
      </c>
      <c r="AB295" s="10" t="s">
        <v>311</v>
      </c>
      <c r="AC295" s="20">
        <v>0</v>
      </c>
      <c r="AD295" s="10" t="s">
        <v>44</v>
      </c>
      <c r="AE295" s="10" t="s">
        <v>211</v>
      </c>
      <c r="AF295" s="10" t="s">
        <v>208</v>
      </c>
      <c r="AG295" s="10">
        <v>0.5</v>
      </c>
      <c r="AH295" s="27">
        <v>1</v>
      </c>
      <c r="AI295" s="27">
        <f t="shared" si="41"/>
        <v>1.8</v>
      </c>
      <c r="AJ295" s="27"/>
      <c r="AK295" s="10">
        <v>1</v>
      </c>
      <c r="AL295" s="10">
        <v>663</v>
      </c>
      <c r="AM295" s="19">
        <v>1.9E-2</v>
      </c>
      <c r="AN295" s="19">
        <v>0.36</v>
      </c>
      <c r="AO295" s="19"/>
      <c r="AP295" s="19"/>
      <c r="AQ295" s="19">
        <f>Table1[[#This Row],[X_Ac]]*Table1[[#This Row],[S_Acryl_Ac]]</f>
        <v>6.8399999999999997E-3</v>
      </c>
      <c r="AR295" s="19">
        <f>Table1[[#This Row],[Y_Acryl_Ac]]*Table1[[#This Row],[Ratio_Ac_Fa]]</f>
        <v>3.4199999999999999E-3</v>
      </c>
      <c r="AS295" s="28">
        <f t="shared" si="38"/>
        <v>7.6712021787723836E-2</v>
      </c>
      <c r="AT295" s="29"/>
      <c r="AU295" s="10" t="s">
        <v>53</v>
      </c>
      <c r="AV295" s="19" t="s">
        <v>235</v>
      </c>
      <c r="AW295" s="10" t="s">
        <v>168</v>
      </c>
      <c r="AX295" s="10">
        <v>2019</v>
      </c>
      <c r="AY295" s="10">
        <v>1</v>
      </c>
      <c r="AZ295" s="20">
        <v>0.37384026212341054</v>
      </c>
      <c r="BA295" s="20">
        <v>0.37384026212341054</v>
      </c>
      <c r="BB295" s="20">
        <v>0.18692013106170527</v>
      </c>
      <c r="BC295" s="20">
        <f>BA295*60*AR295/AY295</f>
        <v>7.6712021787723836E-2</v>
      </c>
      <c r="BD295" s="20">
        <f>BB295*60*AQ295/AY295</f>
        <v>7.6712021787723836E-2</v>
      </c>
    </row>
    <row r="296" spans="1:56" s="18" customFormat="1">
      <c r="A296" s="10">
        <v>295</v>
      </c>
      <c r="B296" s="13">
        <v>1</v>
      </c>
      <c r="C296" s="10" t="s">
        <v>10</v>
      </c>
      <c r="D296" s="10"/>
      <c r="E296" s="27">
        <v>1</v>
      </c>
      <c r="F296" s="10"/>
      <c r="G296" s="10"/>
      <c r="H296" s="27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50">
        <v>527</v>
      </c>
      <c r="Z296" s="10"/>
      <c r="AA296" s="10" t="s">
        <v>4</v>
      </c>
      <c r="AB296" s="10" t="s">
        <v>311</v>
      </c>
      <c r="AC296" s="20">
        <v>0</v>
      </c>
      <c r="AD296" s="10" t="s">
        <v>44</v>
      </c>
      <c r="AE296" s="10" t="s">
        <v>211</v>
      </c>
      <c r="AF296" s="10" t="s">
        <v>208</v>
      </c>
      <c r="AG296" s="10">
        <v>0.5</v>
      </c>
      <c r="AH296" s="27">
        <v>1</v>
      </c>
      <c r="AI296" s="27">
        <f t="shared" si="41"/>
        <v>1.8</v>
      </c>
      <c r="AJ296" s="27"/>
      <c r="AK296" s="10">
        <v>1</v>
      </c>
      <c r="AL296" s="10">
        <v>663</v>
      </c>
      <c r="AM296" s="19">
        <v>7.1999999999999995E-2</v>
      </c>
      <c r="AN296" s="19">
        <v>0.62</v>
      </c>
      <c r="AO296" s="19"/>
      <c r="AP296" s="19"/>
      <c r="AQ296" s="19">
        <f>Table1[[#This Row],[X_Ac]]*Table1[[#This Row],[S_Acryl_Ac]]</f>
        <v>4.4639999999999999E-2</v>
      </c>
      <c r="AR296" s="19">
        <f>Table1[[#This Row],[Y_Acryl_Ac]]*Table1[[#This Row],[Ratio_Ac_Fa]]</f>
        <v>2.232E-2</v>
      </c>
      <c r="AS296" s="28">
        <f t="shared" si="38"/>
        <v>0.5006468790356714</v>
      </c>
      <c r="AT296" s="29"/>
      <c r="AU296" s="10" t="s">
        <v>53</v>
      </c>
      <c r="AV296" s="19" t="s">
        <v>236</v>
      </c>
      <c r="AW296" s="10" t="s">
        <v>168</v>
      </c>
      <c r="AX296" s="10">
        <v>2019</v>
      </c>
      <c r="AY296" s="10">
        <v>1</v>
      </c>
      <c r="AZ296" s="20">
        <v>0.37384026212341054</v>
      </c>
      <c r="BA296" s="20">
        <v>0.37384026212341054</v>
      </c>
      <c r="BB296" s="20">
        <v>0.18692013106170527</v>
      </c>
      <c r="BC296" s="20">
        <f>BA296*60*AR296/AY296</f>
        <v>0.5006468790356714</v>
      </c>
      <c r="BD296" s="20">
        <f>BB296*60*AQ296/AY296</f>
        <v>0.5006468790356714</v>
      </c>
    </row>
    <row r="297" spans="1:56" s="18" customFormat="1">
      <c r="A297" s="10">
        <v>296</v>
      </c>
      <c r="B297" s="13">
        <v>1</v>
      </c>
      <c r="C297" s="10" t="s">
        <v>10</v>
      </c>
      <c r="D297" s="10"/>
      <c r="E297" s="27">
        <v>1</v>
      </c>
      <c r="F297" s="10"/>
      <c r="G297" s="10"/>
      <c r="H297" s="27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50">
        <v>328</v>
      </c>
      <c r="Z297" s="10"/>
      <c r="AA297" s="10" t="s">
        <v>4</v>
      </c>
      <c r="AB297" s="10" t="s">
        <v>311</v>
      </c>
      <c r="AC297" s="20">
        <v>0</v>
      </c>
      <c r="AD297" s="10" t="s">
        <v>44</v>
      </c>
      <c r="AE297" s="10" t="s">
        <v>211</v>
      </c>
      <c r="AF297" s="10" t="s">
        <v>208</v>
      </c>
      <c r="AG297" s="10">
        <v>0.5</v>
      </c>
      <c r="AH297" s="27">
        <v>1</v>
      </c>
      <c r="AI297" s="27">
        <f t="shared" si="41"/>
        <v>1.8</v>
      </c>
      <c r="AJ297" s="27"/>
      <c r="AK297" s="10">
        <v>1</v>
      </c>
      <c r="AL297" s="10">
        <v>663</v>
      </c>
      <c r="AM297" s="19">
        <v>5.2999999999999999E-2</v>
      </c>
      <c r="AN297" s="19">
        <v>0.86</v>
      </c>
      <c r="AO297" s="19"/>
      <c r="AP297" s="19"/>
      <c r="AQ297" s="19">
        <f>Table1[[#This Row],[X_Ac]]*Table1[[#This Row],[S_Acryl_Ac]]</f>
        <v>4.5579999999999996E-2</v>
      </c>
      <c r="AR297" s="19">
        <f>Table1[[#This Row],[Y_Acryl_Ac]]*Table1[[#This Row],[Ratio_Ac_Fa]]</f>
        <v>2.2789999999999998E-2</v>
      </c>
      <c r="AS297" s="28">
        <f t="shared" si="38"/>
        <v>0.51118917442755152</v>
      </c>
      <c r="AT297" s="16"/>
      <c r="AU297" s="10" t="s">
        <v>53</v>
      </c>
      <c r="AV297" s="19"/>
      <c r="AW297" s="10" t="s">
        <v>168</v>
      </c>
      <c r="AX297" s="10">
        <v>2019</v>
      </c>
      <c r="AY297" s="10">
        <v>1</v>
      </c>
      <c r="AZ297" s="20">
        <v>0.37384026212341054</v>
      </c>
      <c r="BA297" s="20">
        <v>0.37384026212341054</v>
      </c>
      <c r="BB297" s="20">
        <v>0.18692013106170527</v>
      </c>
      <c r="BC297" s="20">
        <f>BA297*60*AR297/AY297</f>
        <v>0.51118917442755152</v>
      </c>
      <c r="BD297" s="20">
        <f>BB297*60*AQ297/AY297</f>
        <v>0.51118917442755152</v>
      </c>
    </row>
    <row r="298" spans="1:56" s="18" customFormat="1">
      <c r="A298" s="10">
        <v>297</v>
      </c>
      <c r="B298" s="13"/>
      <c r="C298" s="10" t="s">
        <v>10</v>
      </c>
      <c r="D298" s="10"/>
      <c r="E298" s="27">
        <v>1</v>
      </c>
      <c r="F298" s="10"/>
      <c r="G298" s="10"/>
      <c r="H298" s="27"/>
      <c r="I298" s="10" t="s">
        <v>0</v>
      </c>
      <c r="J298" s="10"/>
      <c r="K298" s="46">
        <f>0.37/1000*132.91</f>
        <v>4.9176699999999997E-2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50">
        <v>154</v>
      </c>
      <c r="Z298" s="10">
        <v>573</v>
      </c>
      <c r="AA298" s="10" t="s">
        <v>3</v>
      </c>
      <c r="AB298" s="10" t="s">
        <v>311</v>
      </c>
      <c r="AC298" s="20">
        <v>0</v>
      </c>
      <c r="AD298" s="10" t="s">
        <v>44</v>
      </c>
      <c r="AE298" s="10" t="s">
        <v>211</v>
      </c>
      <c r="AF298" s="10" t="s">
        <v>208</v>
      </c>
      <c r="AG298" s="10">
        <v>0.5</v>
      </c>
      <c r="AH298" s="27">
        <v>1</v>
      </c>
      <c r="AI298" s="27">
        <f t="shared" si="41"/>
        <v>1.8</v>
      </c>
      <c r="AJ298" s="27"/>
      <c r="AK298" s="10">
        <v>1</v>
      </c>
      <c r="AL298" s="10">
        <v>663</v>
      </c>
      <c r="AM298" s="19">
        <v>0.218</v>
      </c>
      <c r="AN298" s="19">
        <v>0.91</v>
      </c>
      <c r="AO298" s="19"/>
      <c r="AP298" s="19"/>
      <c r="AQ298" s="19">
        <f>Table1[[#This Row],[X_Ac]]*Table1[[#This Row],[S_Acryl_Ac]]</f>
        <v>0.19838</v>
      </c>
      <c r="AR298" s="19">
        <f>Table1[[#This Row],[Y_Acryl_Ac]]*Table1[[#This Row],[Ratio_Ac_Fa]]</f>
        <v>9.919E-2</v>
      </c>
      <c r="AS298" s="28">
        <f t="shared" si="38"/>
        <v>2.2248729360012653</v>
      </c>
      <c r="AT298" s="29" t="s">
        <v>278</v>
      </c>
      <c r="AU298" s="10" t="s">
        <v>53</v>
      </c>
      <c r="AV298" s="19"/>
      <c r="AW298" s="10" t="s">
        <v>168</v>
      </c>
      <c r="AX298" s="10">
        <v>2019</v>
      </c>
      <c r="AY298" s="10">
        <v>1</v>
      </c>
      <c r="AZ298" s="20">
        <v>0.37384026212341054</v>
      </c>
      <c r="BA298" s="20">
        <v>0.37384026212341054</v>
      </c>
      <c r="BB298" s="20">
        <v>0.18692013106170527</v>
      </c>
      <c r="BC298" s="20">
        <f>BA298*60*AR298/AY298</f>
        <v>2.2248729360012653</v>
      </c>
      <c r="BD298" s="20">
        <f>BB298*60*AQ298/AY298</f>
        <v>2.2248729360012653</v>
      </c>
    </row>
    <row r="299" spans="1:56" s="18" customFormat="1">
      <c r="A299" s="10">
        <v>298</v>
      </c>
      <c r="B299" s="13"/>
      <c r="C299" s="10" t="s">
        <v>10</v>
      </c>
      <c r="D299" s="10"/>
      <c r="E299" s="27">
        <v>1</v>
      </c>
      <c r="F299" s="10"/>
      <c r="G299" s="10"/>
      <c r="H299" s="27"/>
      <c r="I299" s="10" t="s">
        <v>0</v>
      </c>
      <c r="J299" s="10"/>
      <c r="K299" s="46">
        <f>0.37/1000*132.91</f>
        <v>4.9176699999999997E-2</v>
      </c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50">
        <v>321</v>
      </c>
      <c r="Z299" s="10">
        <v>527</v>
      </c>
      <c r="AA299" s="10" t="s">
        <v>3</v>
      </c>
      <c r="AB299" s="10" t="s">
        <v>311</v>
      </c>
      <c r="AC299" s="20">
        <v>0</v>
      </c>
      <c r="AD299" s="10" t="s">
        <v>44</v>
      </c>
      <c r="AE299" s="10" t="s">
        <v>211</v>
      </c>
      <c r="AF299" s="10" t="s">
        <v>208</v>
      </c>
      <c r="AG299" s="10">
        <v>0.5</v>
      </c>
      <c r="AH299" s="27">
        <v>1</v>
      </c>
      <c r="AI299" s="27">
        <f t="shared" si="41"/>
        <v>1.8</v>
      </c>
      <c r="AJ299" s="27"/>
      <c r="AK299" s="10">
        <v>1</v>
      </c>
      <c r="AL299" s="10">
        <v>663</v>
      </c>
      <c r="AM299" s="19">
        <v>0.39</v>
      </c>
      <c r="AN299" s="19">
        <v>0.84</v>
      </c>
      <c r="AO299" s="19"/>
      <c r="AP299" s="19"/>
      <c r="AQ299" s="19">
        <f>Table1[[#This Row],[X_Ac]]*Table1[[#This Row],[S_Acryl_Ac]]</f>
        <v>0.3276</v>
      </c>
      <c r="AR299" s="19">
        <f>Table1[[#This Row],[Y_Acryl_Ac]]*Table1[[#This Row],[Ratio_Ac_Fa]]</f>
        <v>0.1638</v>
      </c>
      <c r="AS299" s="28">
        <f t="shared" si="38"/>
        <v>3.6741020961488786</v>
      </c>
      <c r="AT299" s="29" t="s">
        <v>279</v>
      </c>
      <c r="AU299" s="10" t="s">
        <v>53</v>
      </c>
      <c r="AV299" s="19"/>
      <c r="AW299" s="10" t="s">
        <v>168</v>
      </c>
      <c r="AX299" s="10">
        <v>2019</v>
      </c>
      <c r="AY299" s="10">
        <v>1</v>
      </c>
      <c r="AZ299" s="20">
        <v>0.37384026212341054</v>
      </c>
      <c r="BA299" s="20">
        <v>0.37384026212341054</v>
      </c>
      <c r="BB299" s="20">
        <v>0.18692013106170527</v>
      </c>
      <c r="BC299" s="20">
        <f>BA299*60*AR299/AY299</f>
        <v>3.6741020961488786</v>
      </c>
      <c r="BD299" s="20">
        <f>BB299*60*AQ299/AY299</f>
        <v>3.6741020961488786</v>
      </c>
    </row>
    <row r="300" spans="1:56" s="18" customFormat="1">
      <c r="A300" s="10">
        <v>299</v>
      </c>
      <c r="B300" s="13"/>
      <c r="C300" s="10" t="s">
        <v>10</v>
      </c>
      <c r="D300" s="10"/>
      <c r="E300" s="27">
        <v>1</v>
      </c>
      <c r="F300" s="10"/>
      <c r="G300" s="10"/>
      <c r="H300" s="27"/>
      <c r="I300" s="10" t="s">
        <v>0</v>
      </c>
      <c r="J300" s="10"/>
      <c r="K300" s="46">
        <f>0.37/1000*132.91</f>
        <v>4.9176699999999997E-2</v>
      </c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50">
        <v>242</v>
      </c>
      <c r="Z300" s="10">
        <v>328</v>
      </c>
      <c r="AA300" s="10" t="s">
        <v>3</v>
      </c>
      <c r="AB300" s="10" t="s">
        <v>311</v>
      </c>
      <c r="AC300" s="20">
        <v>0</v>
      </c>
      <c r="AD300" s="10" t="s">
        <v>44</v>
      </c>
      <c r="AE300" s="10" t="s">
        <v>211</v>
      </c>
      <c r="AF300" s="10" t="s">
        <v>208</v>
      </c>
      <c r="AG300" s="10">
        <v>0.5</v>
      </c>
      <c r="AH300" s="27">
        <v>1</v>
      </c>
      <c r="AI300" s="27">
        <f t="shared" si="41"/>
        <v>1.8</v>
      </c>
      <c r="AJ300" s="27"/>
      <c r="AK300" s="10">
        <v>1</v>
      </c>
      <c r="AL300" s="10">
        <v>663</v>
      </c>
      <c r="AM300" s="19">
        <v>0.35</v>
      </c>
      <c r="AN300" s="19">
        <v>0.91</v>
      </c>
      <c r="AO300" s="19"/>
      <c r="AP300" s="19"/>
      <c r="AQ300" s="19">
        <f>Table1[[#This Row],[X_Ac]]*Table1[[#This Row],[S_Acryl_Ac]]</f>
        <v>0.31850000000000001</v>
      </c>
      <c r="AR300" s="19">
        <f>Table1[[#This Row],[Y_Acryl_Ac]]*Table1[[#This Row],[Ratio_Ac_Fa]]</f>
        <v>0.15925</v>
      </c>
      <c r="AS300" s="28">
        <f t="shared" si="38"/>
        <v>3.5720437045891877</v>
      </c>
      <c r="AT300" s="29" t="s">
        <v>280</v>
      </c>
      <c r="AU300" s="10" t="s">
        <v>53</v>
      </c>
      <c r="AV300" s="19"/>
      <c r="AW300" s="10" t="s">
        <v>168</v>
      </c>
      <c r="AX300" s="10">
        <v>2019</v>
      </c>
      <c r="AY300" s="10">
        <v>1</v>
      </c>
      <c r="AZ300" s="20">
        <v>0.37384026212341054</v>
      </c>
      <c r="BA300" s="20">
        <v>0.37384026212341054</v>
      </c>
      <c r="BB300" s="20">
        <v>0.18692013106170527</v>
      </c>
      <c r="BC300" s="20">
        <f>BA300*60*AR300/AY300</f>
        <v>3.5720437045891877</v>
      </c>
      <c r="BD300" s="20">
        <f>BB300*60*AQ300/AY300</f>
        <v>3.5720437045891877</v>
      </c>
    </row>
    <row r="301" spans="1:56" s="18" customFormat="1">
      <c r="A301" s="10">
        <v>300</v>
      </c>
      <c r="B301" s="13"/>
      <c r="C301" s="10" t="s">
        <v>10</v>
      </c>
      <c r="D301" s="10"/>
      <c r="E301" s="27">
        <v>1</v>
      </c>
      <c r="F301" s="10"/>
      <c r="G301" s="10"/>
      <c r="H301" s="27"/>
      <c r="I301" s="10" t="s">
        <v>0</v>
      </c>
      <c r="J301" s="10"/>
      <c r="K301" s="46">
        <f>0.12/1000*132.91</f>
        <v>1.5949199999999997E-2</v>
      </c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50"/>
      <c r="Z301" s="10">
        <v>527</v>
      </c>
      <c r="AA301" s="10" t="s">
        <v>3</v>
      </c>
      <c r="AB301" s="10" t="s">
        <v>311</v>
      </c>
      <c r="AC301" s="20">
        <v>0</v>
      </c>
      <c r="AD301" s="10" t="s">
        <v>44</v>
      </c>
      <c r="AE301" s="10" t="s">
        <v>211</v>
      </c>
      <c r="AF301" s="10" t="s">
        <v>208</v>
      </c>
      <c r="AG301" s="10">
        <v>0.5</v>
      </c>
      <c r="AH301" s="27">
        <v>1</v>
      </c>
      <c r="AI301" s="27">
        <f t="shared" si="41"/>
        <v>1.8</v>
      </c>
      <c r="AJ301" s="27"/>
      <c r="AK301" s="10">
        <v>1</v>
      </c>
      <c r="AL301" s="10">
        <v>663</v>
      </c>
      <c r="AM301" s="19"/>
      <c r="AN301" s="19"/>
      <c r="AO301" s="19"/>
      <c r="AP301" s="19"/>
      <c r="AQ301" s="19">
        <v>0.239180830464716</v>
      </c>
      <c r="AR301" s="19">
        <f>Table1[[#This Row],[Y_Acryl_Ac]]*Table1[[#This Row],[Ratio_Ac_Fa]]</f>
        <v>0.119590415232358</v>
      </c>
      <c r="AS301" s="28">
        <f t="shared" si="38"/>
        <v>2.6824627306747333</v>
      </c>
      <c r="AT301" s="29" t="s">
        <v>281</v>
      </c>
      <c r="AU301" s="10" t="s">
        <v>53</v>
      </c>
      <c r="AV301" s="30"/>
      <c r="AW301" s="10" t="s">
        <v>168</v>
      </c>
      <c r="AX301" s="10">
        <v>2019</v>
      </c>
      <c r="AY301" s="10">
        <v>1</v>
      </c>
      <c r="AZ301" s="20">
        <v>0.37384026212341054</v>
      </c>
      <c r="BA301" s="20">
        <v>0.37384026212341054</v>
      </c>
      <c r="BB301" s="20">
        <v>0.18692013106170527</v>
      </c>
      <c r="BC301" s="20">
        <f>BA301*60*AR301/AY301</f>
        <v>2.6824627306747333</v>
      </c>
      <c r="BD301" s="20">
        <f>BB301*60*AQ301/AY301</f>
        <v>2.6824627306747333</v>
      </c>
    </row>
    <row r="302" spans="1:56" s="18" customFormat="1">
      <c r="A302" s="10">
        <v>301</v>
      </c>
      <c r="B302" s="13"/>
      <c r="C302" s="10" t="s">
        <v>10</v>
      </c>
      <c r="D302" s="10"/>
      <c r="E302" s="27">
        <v>1</v>
      </c>
      <c r="F302" s="10"/>
      <c r="G302" s="10"/>
      <c r="H302" s="27"/>
      <c r="I302" s="10" t="s">
        <v>0</v>
      </c>
      <c r="J302" s="10"/>
      <c r="K302" s="46">
        <f>0.25/1000*132.91</f>
        <v>3.32275E-2</v>
      </c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50"/>
      <c r="Z302" s="10">
        <v>527</v>
      </c>
      <c r="AA302" s="10" t="s">
        <v>3</v>
      </c>
      <c r="AB302" s="10" t="s">
        <v>311</v>
      </c>
      <c r="AC302" s="20">
        <v>0</v>
      </c>
      <c r="AD302" s="10" t="s">
        <v>44</v>
      </c>
      <c r="AE302" s="10" t="s">
        <v>211</v>
      </c>
      <c r="AF302" s="10" t="s">
        <v>208</v>
      </c>
      <c r="AG302" s="10">
        <v>0.5</v>
      </c>
      <c r="AH302" s="27">
        <v>1</v>
      </c>
      <c r="AI302" s="27">
        <f t="shared" si="41"/>
        <v>1.8</v>
      </c>
      <c r="AJ302" s="27"/>
      <c r="AK302" s="10">
        <v>1</v>
      </c>
      <c r="AL302" s="10">
        <v>663</v>
      </c>
      <c r="AM302" s="19"/>
      <c r="AN302" s="19"/>
      <c r="AO302" s="19"/>
      <c r="AP302" s="19"/>
      <c r="AQ302" s="19">
        <v>0.30825180976004801</v>
      </c>
      <c r="AR302" s="19">
        <f>Table1[[#This Row],[Y_Acryl_Ac]]*Table1[[#This Row],[Ratio_Ac_Fa]]</f>
        <v>0.15412590488002401</v>
      </c>
      <c r="AS302" s="28">
        <f t="shared" si="38"/>
        <v>3.4571081208213608</v>
      </c>
      <c r="AT302" s="29" t="s">
        <v>282</v>
      </c>
      <c r="AU302" s="10" t="s">
        <v>53</v>
      </c>
      <c r="AV302" s="30"/>
      <c r="AW302" s="10" t="s">
        <v>168</v>
      </c>
      <c r="AX302" s="10">
        <v>2019</v>
      </c>
      <c r="AY302" s="10">
        <v>1</v>
      </c>
      <c r="AZ302" s="20">
        <v>0.37384026212341054</v>
      </c>
      <c r="BA302" s="20">
        <v>0.37384026212341054</v>
      </c>
      <c r="BB302" s="20">
        <v>0.18692013106170527</v>
      </c>
      <c r="BC302" s="20">
        <f>BA302*60*AR302/AY302</f>
        <v>3.4571081208213608</v>
      </c>
      <c r="BD302" s="20">
        <f>BB302*60*AQ302/AY302</f>
        <v>3.4571081208213608</v>
      </c>
    </row>
    <row r="303" spans="1:56" s="18" customFormat="1">
      <c r="A303" s="10">
        <v>302</v>
      </c>
      <c r="B303" s="13"/>
      <c r="C303" s="10" t="s">
        <v>10</v>
      </c>
      <c r="D303" s="10"/>
      <c r="E303" s="27">
        <v>1</v>
      </c>
      <c r="F303" s="10"/>
      <c r="G303" s="10"/>
      <c r="H303" s="27"/>
      <c r="I303" s="10" t="s">
        <v>0</v>
      </c>
      <c r="J303" s="10"/>
      <c r="K303" s="46">
        <f>0.75/1000*132.91</f>
        <v>9.9682499999999993E-2</v>
      </c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50"/>
      <c r="Z303" s="10">
        <v>527</v>
      </c>
      <c r="AA303" s="10" t="s">
        <v>3</v>
      </c>
      <c r="AB303" s="10" t="s">
        <v>311</v>
      </c>
      <c r="AC303" s="20">
        <v>0</v>
      </c>
      <c r="AD303" s="10" t="s">
        <v>44</v>
      </c>
      <c r="AE303" s="10" t="s">
        <v>211</v>
      </c>
      <c r="AF303" s="10" t="s">
        <v>208</v>
      </c>
      <c r="AG303" s="10">
        <v>0.5</v>
      </c>
      <c r="AH303" s="27">
        <v>1</v>
      </c>
      <c r="AI303" s="27">
        <f t="shared" si="41"/>
        <v>1.8</v>
      </c>
      <c r="AJ303" s="27"/>
      <c r="AK303" s="10">
        <v>1</v>
      </c>
      <c r="AL303" s="10">
        <v>663</v>
      </c>
      <c r="AM303" s="19"/>
      <c r="AN303" s="19"/>
      <c r="AO303" s="19"/>
      <c r="AP303" s="19"/>
      <c r="AQ303" s="19">
        <v>0.143811063582059</v>
      </c>
      <c r="AR303" s="19">
        <f>Table1[[#This Row],[Y_Acryl_Ac]]*Table1[[#This Row],[Ratio_Ac_Fa]]</f>
        <v>7.1905531791029501E-2</v>
      </c>
      <c r="AS303" s="28">
        <f t="shared" si="38"/>
        <v>1.6128709711729019</v>
      </c>
      <c r="AT303" s="29" t="s">
        <v>283</v>
      </c>
      <c r="AU303" s="10" t="s">
        <v>53</v>
      </c>
      <c r="AV303" s="30"/>
      <c r="AW303" s="10" t="s">
        <v>168</v>
      </c>
      <c r="AX303" s="10">
        <v>2019</v>
      </c>
      <c r="AY303" s="10">
        <v>1</v>
      </c>
      <c r="AZ303" s="20">
        <v>0.37384026212341054</v>
      </c>
      <c r="BA303" s="20">
        <v>0.37384026212341054</v>
      </c>
      <c r="BB303" s="20">
        <v>0.18692013106170527</v>
      </c>
      <c r="BC303" s="20">
        <f>BA303*60*AR303/AY303</f>
        <v>1.6128709711729019</v>
      </c>
      <c r="BD303" s="20">
        <f>BB303*60*AQ303/AY303</f>
        <v>1.6128709711729019</v>
      </c>
    </row>
    <row r="304" spans="1:56" s="18" customFormat="1">
      <c r="A304" s="10">
        <v>303</v>
      </c>
      <c r="B304" s="13"/>
      <c r="C304" s="10" t="s">
        <v>10</v>
      </c>
      <c r="D304" s="10"/>
      <c r="E304" s="27">
        <v>1</v>
      </c>
      <c r="F304" s="10"/>
      <c r="G304" s="10"/>
      <c r="H304" s="27"/>
      <c r="I304" s="10" t="s">
        <v>0</v>
      </c>
      <c r="J304" s="10"/>
      <c r="K304" s="46">
        <f>1.12/1000*132.91</f>
        <v>0.14885920000000002</v>
      </c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50"/>
      <c r="Z304" s="10">
        <v>527</v>
      </c>
      <c r="AA304" s="10" t="s">
        <v>3</v>
      </c>
      <c r="AB304" s="10" t="s">
        <v>311</v>
      </c>
      <c r="AC304" s="20">
        <v>0</v>
      </c>
      <c r="AD304" s="10" t="s">
        <v>44</v>
      </c>
      <c r="AE304" s="10" t="s">
        <v>211</v>
      </c>
      <c r="AF304" s="10" t="s">
        <v>208</v>
      </c>
      <c r="AG304" s="10">
        <v>0.5</v>
      </c>
      <c r="AH304" s="27">
        <v>1</v>
      </c>
      <c r="AI304" s="27">
        <f t="shared" si="41"/>
        <v>1.8</v>
      </c>
      <c r="AJ304" s="27"/>
      <c r="AK304" s="10">
        <v>1</v>
      </c>
      <c r="AL304" s="10">
        <v>663</v>
      </c>
      <c r="AM304" s="19"/>
      <c r="AN304" s="19"/>
      <c r="AO304" s="19"/>
      <c r="AP304" s="19"/>
      <c r="AQ304" s="19">
        <v>8.7693948061152105E-2</v>
      </c>
      <c r="AR304" s="19">
        <f>Table1[[#This Row],[Y_Acryl_Ac]]*Table1[[#This Row],[Ratio_Ac_Fa]]</f>
        <v>4.3846974030576052E-2</v>
      </c>
      <c r="AS304" s="28">
        <f t="shared" ref="AS304:AS328" si="42">AVERAGE(BC304:BD304)</f>
        <v>0.98350585589453554</v>
      </c>
      <c r="AT304" s="16" t="s">
        <v>284</v>
      </c>
      <c r="AU304" s="10" t="s">
        <v>53</v>
      </c>
      <c r="AV304" s="30"/>
      <c r="AW304" s="10" t="s">
        <v>168</v>
      </c>
      <c r="AX304" s="10">
        <v>2019</v>
      </c>
      <c r="AY304" s="10">
        <v>1</v>
      </c>
      <c r="AZ304" s="20">
        <v>0.37384026212341054</v>
      </c>
      <c r="BA304" s="20">
        <v>0.37384026212341054</v>
      </c>
      <c r="BB304" s="20">
        <v>0.18692013106170527</v>
      </c>
      <c r="BC304" s="20">
        <f>BA304*60*AR304/AY304</f>
        <v>0.98350585589453554</v>
      </c>
      <c r="BD304" s="20">
        <f>BB304*60*AQ304/AY304</f>
        <v>0.98350585589453554</v>
      </c>
    </row>
    <row r="305" spans="1:56" s="18" customFormat="1">
      <c r="A305" s="10">
        <v>304</v>
      </c>
      <c r="B305" s="13"/>
      <c r="C305" s="10" t="s">
        <v>10</v>
      </c>
      <c r="D305" s="10"/>
      <c r="E305" s="27">
        <v>1</v>
      </c>
      <c r="F305" s="10"/>
      <c r="G305" s="10"/>
      <c r="H305" s="27"/>
      <c r="I305" s="10" t="s">
        <v>0</v>
      </c>
      <c r="J305" s="10"/>
      <c r="K305" s="46">
        <f>0.37/1000*132.91</f>
        <v>4.9176699999999997E-2</v>
      </c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50">
        <v>266</v>
      </c>
      <c r="Z305" s="10">
        <v>493</v>
      </c>
      <c r="AA305" s="10" t="s">
        <v>3</v>
      </c>
      <c r="AB305" s="10" t="s">
        <v>311</v>
      </c>
      <c r="AC305" s="20">
        <v>0</v>
      </c>
      <c r="AD305" s="10" t="s">
        <v>44</v>
      </c>
      <c r="AE305" s="10" t="s">
        <v>211</v>
      </c>
      <c r="AF305" s="10" t="s">
        <v>208</v>
      </c>
      <c r="AG305" s="10">
        <v>0.5</v>
      </c>
      <c r="AH305" s="27">
        <v>1</v>
      </c>
      <c r="AI305" s="27">
        <f t="shared" si="41"/>
        <v>1.8</v>
      </c>
      <c r="AJ305" s="27"/>
      <c r="AK305" s="10">
        <v>1</v>
      </c>
      <c r="AL305" s="10">
        <v>663</v>
      </c>
      <c r="AM305" s="19">
        <v>0.33535401590853597</v>
      </c>
      <c r="AN305" s="19">
        <v>0.91457051680000001</v>
      </c>
      <c r="AO305" s="19"/>
      <c r="AP305" s="19"/>
      <c r="AQ305" s="19">
        <f>Table1[[#This Row],[X_Ac]]*Table1[[#This Row],[S_Acryl_Ac]]</f>
        <v>0.30670489564042519</v>
      </c>
      <c r="AR305" s="19">
        <f>Table1[[#This Row],[Y_Acryl_Ac]]*Table1[[#This Row],[Ratio_Ac_Fa]]</f>
        <v>0.1533524478202126</v>
      </c>
      <c r="AS305" s="28">
        <f t="shared" si="42"/>
        <v>3.4397591574224951</v>
      </c>
      <c r="AT305" s="16" t="s">
        <v>237</v>
      </c>
      <c r="AU305" s="10" t="s">
        <v>53</v>
      </c>
      <c r="AV305" s="30"/>
      <c r="AW305" s="10" t="s">
        <v>168</v>
      </c>
      <c r="AX305" s="10">
        <v>2019</v>
      </c>
      <c r="AY305" s="10">
        <v>1</v>
      </c>
      <c r="AZ305" s="20">
        <v>0.37384026212341054</v>
      </c>
      <c r="BA305" s="20">
        <v>0.37384026212341054</v>
      </c>
      <c r="BB305" s="20">
        <v>0.18692013106170527</v>
      </c>
      <c r="BC305" s="20">
        <f>BA305*60*AR305/AY305</f>
        <v>3.4397591574224951</v>
      </c>
      <c r="BD305" s="20">
        <f>BB305*60*AQ305/AY305</f>
        <v>3.4397591574224951</v>
      </c>
    </row>
    <row r="306" spans="1:56" s="18" customFormat="1">
      <c r="A306" s="10">
        <v>305</v>
      </c>
      <c r="B306" s="13"/>
      <c r="C306" s="10" t="s">
        <v>12</v>
      </c>
      <c r="D306" s="10"/>
      <c r="E306" s="27">
        <v>1</v>
      </c>
      <c r="F306" s="10"/>
      <c r="G306" s="10"/>
      <c r="H306" s="27"/>
      <c r="I306" s="10" t="s">
        <v>0</v>
      </c>
      <c r="J306" s="10"/>
      <c r="K306" s="10">
        <v>9.4E-2</v>
      </c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50"/>
      <c r="Z306" s="10">
        <v>210</v>
      </c>
      <c r="AA306" s="10" t="s">
        <v>17</v>
      </c>
      <c r="AB306" s="10">
        <v>1</v>
      </c>
      <c r="AC306" s="20">
        <v>0</v>
      </c>
      <c r="AD306" s="10" t="s">
        <v>44</v>
      </c>
      <c r="AE306" s="10" t="s">
        <v>211</v>
      </c>
      <c r="AF306" s="10" t="s">
        <v>208</v>
      </c>
      <c r="AG306" s="10">
        <v>0.5</v>
      </c>
      <c r="AH306" s="27">
        <f>0.47/2</f>
        <v>0.23499999999999999</v>
      </c>
      <c r="AI306" s="27">
        <f>0.02*60/0.25</f>
        <v>4.8</v>
      </c>
      <c r="AJ306" s="27">
        <f>15/0.25</f>
        <v>60</v>
      </c>
      <c r="AK306" s="10">
        <v>1</v>
      </c>
      <c r="AL306" s="10">
        <v>663</v>
      </c>
      <c r="AM306" s="19">
        <v>0.66659999999999997</v>
      </c>
      <c r="AN306" s="19">
        <v>0.1119</v>
      </c>
      <c r="AO306" s="19"/>
      <c r="AP306" s="19"/>
      <c r="AQ306" s="19">
        <f>Table1[[#This Row],[X_Ac]]*Table1[[#This Row],[S_Acryl_Ac]]</f>
        <v>7.4592539999999999E-2</v>
      </c>
      <c r="AR306" s="19">
        <f>Table1[[#This Row],[Y_Acryl_Ac]]*Table1[[#This Row],[Ratio_Ac_Fa]]</f>
        <v>3.7296269999999999E-2</v>
      </c>
      <c r="AS306" s="28">
        <f t="shared" si="42"/>
        <v>3.6341306631738339</v>
      </c>
      <c r="AT306" s="29" t="s">
        <v>342</v>
      </c>
      <c r="AU306" s="10" t="s">
        <v>169</v>
      </c>
      <c r="AV306" s="30"/>
      <c r="AW306" s="10" t="s">
        <v>170</v>
      </c>
      <c r="AX306" s="10">
        <v>2021</v>
      </c>
      <c r="AY306" s="10">
        <v>0.25</v>
      </c>
      <c r="AZ306" s="20">
        <v>9.5409530435377185E-2</v>
      </c>
      <c r="BA306" s="20">
        <v>0.40599800185266893</v>
      </c>
      <c r="BB306" s="20">
        <v>0.20299900092633447</v>
      </c>
      <c r="BC306" s="20">
        <f>BA306*60*AR306/AY306</f>
        <v>3.6341306631738339</v>
      </c>
      <c r="BD306" s="20">
        <f>BB306*60*AQ306/AY306</f>
        <v>3.6341306631738339</v>
      </c>
    </row>
    <row r="307" spans="1:56" s="18" customFormat="1">
      <c r="A307" s="10">
        <v>306</v>
      </c>
      <c r="B307" s="13"/>
      <c r="C307" s="10" t="s">
        <v>12</v>
      </c>
      <c r="D307" s="10"/>
      <c r="E307" s="27">
        <v>1</v>
      </c>
      <c r="F307" s="10"/>
      <c r="G307" s="10"/>
      <c r="H307" s="27"/>
      <c r="I307" s="10" t="s">
        <v>0</v>
      </c>
      <c r="J307" s="10"/>
      <c r="K307" s="10">
        <v>9.4E-2</v>
      </c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50"/>
      <c r="Z307" s="10">
        <v>255</v>
      </c>
      <c r="AA307" s="10" t="s">
        <v>17</v>
      </c>
      <c r="AB307" s="10">
        <v>1</v>
      </c>
      <c r="AC307" s="20">
        <v>0</v>
      </c>
      <c r="AD307" s="10" t="s">
        <v>44</v>
      </c>
      <c r="AE307" s="10" t="s">
        <v>211</v>
      </c>
      <c r="AF307" s="10" t="s">
        <v>208</v>
      </c>
      <c r="AG307" s="10">
        <v>0.5</v>
      </c>
      <c r="AH307" s="27">
        <f>0.47/2</f>
        <v>0.23499999999999999</v>
      </c>
      <c r="AI307" s="27">
        <f>0.02*60/0.25</f>
        <v>4.8</v>
      </c>
      <c r="AJ307" s="27">
        <f>15/0.25</f>
        <v>60</v>
      </c>
      <c r="AK307" s="10">
        <v>1</v>
      </c>
      <c r="AL307" s="10">
        <v>663</v>
      </c>
      <c r="AM307" s="19">
        <v>0.72529999999999994</v>
      </c>
      <c r="AN307" s="19">
        <v>6.7100000000000007E-2</v>
      </c>
      <c r="AO307" s="19"/>
      <c r="AP307" s="19"/>
      <c r="AQ307" s="19">
        <f>Table1[[#This Row],[X_Ac]]*Table1[[#This Row],[S_Acryl_Ac]]</f>
        <v>4.8667630000000003E-2</v>
      </c>
      <c r="AR307" s="19">
        <f>Table1[[#This Row],[Y_Acryl_Ac]]*Table1[[#This Row],[Ratio_Ac_Fa]]</f>
        <v>2.4333815000000002E-2</v>
      </c>
      <c r="AS307" s="28">
        <f t="shared" si="42"/>
        <v>2.371075264188601</v>
      </c>
      <c r="AT307" s="29" t="s">
        <v>343</v>
      </c>
      <c r="AU307" s="10" t="s">
        <v>169</v>
      </c>
      <c r="AV307" s="30"/>
      <c r="AW307" s="10" t="s">
        <v>170</v>
      </c>
      <c r="AX307" s="10">
        <v>2021</v>
      </c>
      <c r="AY307" s="10">
        <v>0.25</v>
      </c>
      <c r="AZ307" s="20">
        <v>9.5409530435377185E-2</v>
      </c>
      <c r="BA307" s="20">
        <v>0.40599800185266893</v>
      </c>
      <c r="BB307" s="20">
        <v>0.20299900092633447</v>
      </c>
      <c r="BC307" s="20">
        <f>BA307*60*AR307/AY307</f>
        <v>2.371075264188601</v>
      </c>
      <c r="BD307" s="20">
        <f>BB307*60*AQ307/AY307</f>
        <v>2.371075264188601</v>
      </c>
    </row>
    <row r="308" spans="1:56" s="18" customFormat="1">
      <c r="A308" s="10">
        <v>307</v>
      </c>
      <c r="B308" s="13"/>
      <c r="C308" s="10" t="s">
        <v>12</v>
      </c>
      <c r="D308" s="10"/>
      <c r="E308" s="27">
        <v>1</v>
      </c>
      <c r="F308" s="10"/>
      <c r="G308" s="10"/>
      <c r="H308" s="27"/>
      <c r="I308" s="10" t="s">
        <v>0</v>
      </c>
      <c r="J308" s="10"/>
      <c r="K308" s="10">
        <v>9.4E-2</v>
      </c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50"/>
      <c r="Z308" s="10">
        <v>221</v>
      </c>
      <c r="AA308" s="10" t="s">
        <v>17</v>
      </c>
      <c r="AB308" s="10">
        <v>1</v>
      </c>
      <c r="AC308" s="20">
        <v>0</v>
      </c>
      <c r="AD308" s="10" t="s">
        <v>44</v>
      </c>
      <c r="AE308" s="10" t="s">
        <v>211</v>
      </c>
      <c r="AF308" s="10" t="s">
        <v>208</v>
      </c>
      <c r="AG308" s="10">
        <v>0.5</v>
      </c>
      <c r="AH308" s="27">
        <f>0.47/2</f>
        <v>0.23499999999999999</v>
      </c>
      <c r="AI308" s="27">
        <f>0.02*60/0.25</f>
        <v>4.8</v>
      </c>
      <c r="AJ308" s="27">
        <f>15/0.25</f>
        <v>60</v>
      </c>
      <c r="AK308" s="10">
        <v>1</v>
      </c>
      <c r="AL308" s="10">
        <v>663</v>
      </c>
      <c r="AM308" s="19">
        <v>0.81640000000000001</v>
      </c>
      <c r="AN308" s="19">
        <v>9.5200000000000007E-2</v>
      </c>
      <c r="AO308" s="19"/>
      <c r="AP308" s="19"/>
      <c r="AQ308" s="19">
        <f>Table1[[#This Row],[X_Ac]]*Table1[[#This Row],[S_Acryl_Ac]]</f>
        <v>7.7721280000000004E-2</v>
      </c>
      <c r="AR308" s="19">
        <f>Table1[[#This Row],[Y_Acryl_Ac]]*Table1[[#This Row],[Ratio_Ac_Fa]]</f>
        <v>3.8860640000000002E-2</v>
      </c>
      <c r="AS308" s="28">
        <f t="shared" si="42"/>
        <v>3.7865621257718165</v>
      </c>
      <c r="AT308" s="29" t="s">
        <v>344</v>
      </c>
      <c r="AU308" s="10" t="s">
        <v>169</v>
      </c>
      <c r="AV308" s="30"/>
      <c r="AW308" s="10" t="s">
        <v>170</v>
      </c>
      <c r="AX308" s="10">
        <v>2021</v>
      </c>
      <c r="AY308" s="10">
        <v>0.25</v>
      </c>
      <c r="AZ308" s="20">
        <v>9.5409530435377185E-2</v>
      </c>
      <c r="BA308" s="20">
        <v>0.40599800185266893</v>
      </c>
      <c r="BB308" s="20">
        <v>0.20299900092633447</v>
      </c>
      <c r="BC308" s="20">
        <f>BA308*60*AR308/AY308</f>
        <v>3.7865621257718165</v>
      </c>
      <c r="BD308" s="20">
        <f>BB308*60*AQ308/AY308</f>
        <v>3.7865621257718165</v>
      </c>
    </row>
    <row r="309" spans="1:56" s="18" customFormat="1">
      <c r="A309" s="10">
        <v>308</v>
      </c>
      <c r="B309" s="13"/>
      <c r="C309" s="10" t="s">
        <v>12</v>
      </c>
      <c r="D309" s="10"/>
      <c r="E309" s="27">
        <v>1</v>
      </c>
      <c r="F309" s="10"/>
      <c r="G309" s="10"/>
      <c r="H309" s="27"/>
      <c r="I309" s="10" t="s">
        <v>0</v>
      </c>
      <c r="J309" s="10"/>
      <c r="K309" s="10">
        <v>9.4E-2</v>
      </c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50"/>
      <c r="Z309" s="10">
        <v>105</v>
      </c>
      <c r="AA309" s="10" t="s">
        <v>17</v>
      </c>
      <c r="AB309" s="10">
        <v>1</v>
      </c>
      <c r="AC309" s="20">
        <v>0</v>
      </c>
      <c r="AD309" s="10" t="s">
        <v>44</v>
      </c>
      <c r="AE309" s="10" t="s">
        <v>211</v>
      </c>
      <c r="AF309" s="10" t="s">
        <v>208</v>
      </c>
      <c r="AG309" s="10">
        <v>0.5</v>
      </c>
      <c r="AH309" s="27">
        <f>0.47/2</f>
        <v>0.23499999999999999</v>
      </c>
      <c r="AI309" s="27">
        <f>0.02*60/0.25</f>
        <v>4.8</v>
      </c>
      <c r="AJ309" s="27">
        <f>15/0.25</f>
        <v>60</v>
      </c>
      <c r="AK309" s="10">
        <v>1</v>
      </c>
      <c r="AL309" s="10">
        <v>663</v>
      </c>
      <c r="AM309" s="19">
        <v>0.74519999999999997</v>
      </c>
      <c r="AN309" s="19">
        <v>5.21E-2</v>
      </c>
      <c r="AO309" s="19"/>
      <c r="AP309" s="19"/>
      <c r="AQ309" s="19">
        <f>Table1[[#This Row],[X_Ac]]*Table1[[#This Row],[S_Acryl_Ac]]</f>
        <v>3.8824919999999999E-2</v>
      </c>
      <c r="AR309" s="19">
        <f>Table1[[#This Row],[Y_Acryl_Ac]]*Table1[[#This Row],[Ratio_Ac_Fa]]</f>
        <v>1.9412459999999999E-2</v>
      </c>
      <c r="AS309" s="28">
        <f t="shared" si="42"/>
        <v>1.8915407930507668</v>
      </c>
      <c r="AT309" s="29" t="s">
        <v>345</v>
      </c>
      <c r="AU309" s="10" t="s">
        <v>169</v>
      </c>
      <c r="AV309" s="30"/>
      <c r="AW309" s="10" t="s">
        <v>170</v>
      </c>
      <c r="AX309" s="10">
        <v>2021</v>
      </c>
      <c r="AY309" s="10">
        <v>0.25</v>
      </c>
      <c r="AZ309" s="20">
        <v>9.5409530435377185E-2</v>
      </c>
      <c r="BA309" s="20">
        <v>0.40599800185266893</v>
      </c>
      <c r="BB309" s="20">
        <v>0.20299900092633447</v>
      </c>
      <c r="BC309" s="20">
        <f>BA309*60*AR309/AY309</f>
        <v>1.8915407930507668</v>
      </c>
      <c r="BD309" s="20">
        <f>BB309*60*AQ309/AY309</f>
        <v>1.8915407930507668</v>
      </c>
    </row>
    <row r="310" spans="1:56" s="18" customFormat="1">
      <c r="A310" s="10">
        <v>309</v>
      </c>
      <c r="B310" s="13"/>
      <c r="C310" s="21" t="s">
        <v>12</v>
      </c>
      <c r="D310" s="21"/>
      <c r="E310" s="27">
        <v>1</v>
      </c>
      <c r="F310" s="21"/>
      <c r="G310" s="21"/>
      <c r="H310" s="27"/>
      <c r="I310" s="21" t="s">
        <v>37</v>
      </c>
      <c r="J310" s="21"/>
      <c r="K310" s="21"/>
      <c r="L310" s="21">
        <v>0.05</v>
      </c>
      <c r="M310" s="21" t="s">
        <v>110</v>
      </c>
      <c r="N310" s="21"/>
      <c r="O310" s="21"/>
      <c r="P310" s="21">
        <v>5.0000000000000001E-3</v>
      </c>
      <c r="Q310" s="21"/>
      <c r="R310" s="21"/>
      <c r="S310" s="21"/>
      <c r="T310" s="21"/>
      <c r="U310" s="21"/>
      <c r="V310" s="21"/>
      <c r="W310" s="21"/>
      <c r="X310" s="21"/>
      <c r="Y310" s="52">
        <v>227</v>
      </c>
      <c r="Z310" s="21">
        <v>250</v>
      </c>
      <c r="AA310" s="21" t="s">
        <v>17</v>
      </c>
      <c r="AB310" s="21">
        <v>1</v>
      </c>
      <c r="AC310" s="26">
        <v>0</v>
      </c>
      <c r="AD310" s="21" t="s">
        <v>44</v>
      </c>
      <c r="AE310" s="21" t="s">
        <v>211</v>
      </c>
      <c r="AF310" s="21" t="s">
        <v>208</v>
      </c>
      <c r="AG310" s="21">
        <f>1/2</f>
        <v>0.5</v>
      </c>
      <c r="AH310" s="22">
        <v>1</v>
      </c>
      <c r="AI310" s="22">
        <f t="shared" ref="AI310:AI316" si="43">0.06*60/0.5</f>
        <v>7.1999999999999993</v>
      </c>
      <c r="AJ310" s="22"/>
      <c r="AK310" s="21">
        <v>1</v>
      </c>
      <c r="AL310" s="21">
        <v>663</v>
      </c>
      <c r="AM310" s="23"/>
      <c r="AN310" s="23"/>
      <c r="AO310" s="23"/>
      <c r="AP310" s="23"/>
      <c r="AQ310" s="23">
        <v>0.41</v>
      </c>
      <c r="AR310" s="23">
        <f>Table1[[#This Row],[Y_Acryl_Ac]]*Table1[[#This Row],[Ratio_Ac_Fa]]</f>
        <v>0.20499999999999999</v>
      </c>
      <c r="AS310" s="24">
        <f t="shared" si="42"/>
        <v>18.392940896471799</v>
      </c>
      <c r="AT310" s="35" t="s">
        <v>222</v>
      </c>
      <c r="AU310" s="21" t="s">
        <v>171</v>
      </c>
      <c r="AV310" s="37"/>
      <c r="AW310" s="21" t="s">
        <v>172</v>
      </c>
      <c r="AX310" s="21">
        <v>2022</v>
      </c>
      <c r="AY310" s="21">
        <v>0.5</v>
      </c>
      <c r="AZ310" s="26">
        <v>0.74768052424682108</v>
      </c>
      <c r="BA310" s="26">
        <v>0.74768052424682108</v>
      </c>
      <c r="BB310" s="26">
        <v>0.37384026212341054</v>
      </c>
      <c r="BC310" s="26">
        <f>BA310*60*AR310/AY310</f>
        <v>18.392940896471799</v>
      </c>
      <c r="BD310" s="26">
        <f>BB310*60*AQ310/AY310</f>
        <v>18.392940896471799</v>
      </c>
    </row>
    <row r="311" spans="1:56" s="18" customFormat="1">
      <c r="A311" s="10">
        <v>310</v>
      </c>
      <c r="B311" s="13"/>
      <c r="C311" s="21" t="s">
        <v>12</v>
      </c>
      <c r="D311" s="21"/>
      <c r="E311" s="27">
        <v>1</v>
      </c>
      <c r="F311" s="21"/>
      <c r="G311" s="21"/>
      <c r="H311" s="27"/>
      <c r="I311" s="21" t="s">
        <v>37</v>
      </c>
      <c r="J311" s="21"/>
      <c r="K311" s="21"/>
      <c r="L311" s="21">
        <v>0.05</v>
      </c>
      <c r="M311" s="21" t="s">
        <v>110</v>
      </c>
      <c r="N311" s="21"/>
      <c r="O311" s="21"/>
      <c r="P311" s="21">
        <v>5.0000000000000001E-3</v>
      </c>
      <c r="Q311" s="21"/>
      <c r="R311" s="21"/>
      <c r="S311" s="21"/>
      <c r="T311" s="21"/>
      <c r="U311" s="21"/>
      <c r="V311" s="21"/>
      <c r="W311" s="21"/>
      <c r="X311" s="21"/>
      <c r="Y311" s="52">
        <v>227</v>
      </c>
      <c r="Z311" s="21">
        <v>250</v>
      </c>
      <c r="AA311" s="21" t="s">
        <v>17</v>
      </c>
      <c r="AB311" s="21">
        <v>1</v>
      </c>
      <c r="AC311" s="26">
        <v>0</v>
      </c>
      <c r="AD311" s="21" t="s">
        <v>44</v>
      </c>
      <c r="AE311" s="21" t="s">
        <v>211</v>
      </c>
      <c r="AF311" s="21" t="s">
        <v>208</v>
      </c>
      <c r="AG311" s="21">
        <f>2/2</f>
        <v>1</v>
      </c>
      <c r="AH311" s="22">
        <v>1</v>
      </c>
      <c r="AI311" s="22">
        <f t="shared" si="43"/>
        <v>7.1999999999999993</v>
      </c>
      <c r="AJ311" s="22"/>
      <c r="AK311" s="21">
        <v>1</v>
      </c>
      <c r="AL311" s="21">
        <v>663</v>
      </c>
      <c r="AM311" s="23"/>
      <c r="AN311" s="23"/>
      <c r="AO311" s="23"/>
      <c r="AP311" s="23"/>
      <c r="AQ311" s="23">
        <v>0.27</v>
      </c>
      <c r="AR311" s="23">
        <f>Table1[[#This Row],[Y_Acryl_Ac]]*Table1[[#This Row],[Ratio_Ac_Fa]]</f>
        <v>0.27</v>
      </c>
      <c r="AS311" s="24">
        <f t="shared" si="42"/>
        <v>16.201259979814282</v>
      </c>
      <c r="AT311" s="35" t="s">
        <v>223</v>
      </c>
      <c r="AU311" s="21" t="s">
        <v>171</v>
      </c>
      <c r="AV311" s="37"/>
      <c r="AW311" s="21" t="s">
        <v>172</v>
      </c>
      <c r="AX311" s="21">
        <v>2022</v>
      </c>
      <c r="AY311" s="21">
        <v>0.5</v>
      </c>
      <c r="AZ311" s="26">
        <v>0.50003888826587284</v>
      </c>
      <c r="BA311" s="26">
        <v>0.50003888826587284</v>
      </c>
      <c r="BB311" s="26">
        <v>0.50003888826587284</v>
      </c>
      <c r="BC311" s="26">
        <f>BA311*60*AR311/AY311</f>
        <v>16.201259979814282</v>
      </c>
      <c r="BD311" s="26">
        <f>BB311*60*AQ311/AY311</f>
        <v>16.201259979814282</v>
      </c>
    </row>
    <row r="312" spans="1:56" s="18" customFormat="1">
      <c r="A312" s="10">
        <v>311</v>
      </c>
      <c r="B312" s="13"/>
      <c r="C312" s="21" t="s">
        <v>12</v>
      </c>
      <c r="D312" s="21"/>
      <c r="E312" s="27">
        <v>1</v>
      </c>
      <c r="F312" s="21"/>
      <c r="G312" s="21"/>
      <c r="H312" s="27"/>
      <c r="I312" s="21" t="s">
        <v>37</v>
      </c>
      <c r="J312" s="21"/>
      <c r="K312" s="21"/>
      <c r="L312" s="21">
        <v>0.05</v>
      </c>
      <c r="M312" s="21" t="s">
        <v>110</v>
      </c>
      <c r="N312" s="21"/>
      <c r="O312" s="21"/>
      <c r="P312" s="21">
        <v>5.0000000000000001E-3</v>
      </c>
      <c r="Q312" s="21"/>
      <c r="R312" s="21"/>
      <c r="S312" s="21"/>
      <c r="T312" s="21"/>
      <c r="U312" s="21"/>
      <c r="V312" s="21"/>
      <c r="W312" s="21"/>
      <c r="X312" s="21"/>
      <c r="Y312" s="52">
        <v>227</v>
      </c>
      <c r="Z312" s="21">
        <v>250</v>
      </c>
      <c r="AA312" s="21" t="s">
        <v>17</v>
      </c>
      <c r="AB312" s="21">
        <v>1</v>
      </c>
      <c r="AC312" s="26">
        <v>0</v>
      </c>
      <c r="AD312" s="21" t="s">
        <v>44</v>
      </c>
      <c r="AE312" s="21" t="s">
        <v>211</v>
      </c>
      <c r="AF312" s="21" t="s">
        <v>208</v>
      </c>
      <c r="AG312" s="21">
        <f>4/2</f>
        <v>2</v>
      </c>
      <c r="AH312" s="22">
        <v>1</v>
      </c>
      <c r="AI312" s="22">
        <f t="shared" si="43"/>
        <v>7.1999999999999993</v>
      </c>
      <c r="AJ312" s="22"/>
      <c r="AK312" s="21">
        <v>1</v>
      </c>
      <c r="AL312" s="21">
        <v>663</v>
      </c>
      <c r="AM312" s="23"/>
      <c r="AN312" s="23"/>
      <c r="AO312" s="23"/>
      <c r="AP312" s="23"/>
      <c r="AQ312" s="23">
        <v>0.44</v>
      </c>
      <c r="AR312" s="23">
        <f>Table1[[#This Row],[Y_Acryl_Ac]]*Table1[[#This Row],[Ratio_Ac_Fa]]</f>
        <v>0.88</v>
      </c>
      <c r="AS312" s="24">
        <f t="shared" si="42"/>
        <v>31.76327599094331</v>
      </c>
      <c r="AT312" s="35" t="s">
        <v>224</v>
      </c>
      <c r="AU312" s="21" t="s">
        <v>171</v>
      </c>
      <c r="AV312" s="37"/>
      <c r="AW312" s="21" t="s">
        <v>172</v>
      </c>
      <c r="AX312" s="21">
        <v>2022</v>
      </c>
      <c r="AY312" s="21">
        <v>0.5</v>
      </c>
      <c r="AZ312" s="26">
        <v>0.30078859839908434</v>
      </c>
      <c r="BA312" s="26">
        <v>0.30078859839908434</v>
      </c>
      <c r="BB312" s="26">
        <v>0.60157719679816868</v>
      </c>
      <c r="BC312" s="26">
        <f>BA312*60*AR312/AY312</f>
        <v>31.76327599094331</v>
      </c>
      <c r="BD312" s="26">
        <f>BB312*60*AQ312/AY312</f>
        <v>31.76327599094331</v>
      </c>
    </row>
    <row r="313" spans="1:56" s="18" customFormat="1">
      <c r="A313" s="10">
        <v>312</v>
      </c>
      <c r="B313" s="13"/>
      <c r="C313" s="21" t="s">
        <v>12</v>
      </c>
      <c r="D313" s="21"/>
      <c r="E313" s="27">
        <v>1</v>
      </c>
      <c r="F313" s="21"/>
      <c r="G313" s="21"/>
      <c r="H313" s="27"/>
      <c r="I313" s="21" t="s">
        <v>37</v>
      </c>
      <c r="J313" s="21"/>
      <c r="K313" s="21"/>
      <c r="L313" s="21">
        <v>0.05</v>
      </c>
      <c r="M313" s="21" t="s">
        <v>110</v>
      </c>
      <c r="N313" s="21"/>
      <c r="O313" s="21"/>
      <c r="P313" s="21">
        <v>5.0000000000000001E-3</v>
      </c>
      <c r="Q313" s="21"/>
      <c r="R313" s="21"/>
      <c r="S313" s="21"/>
      <c r="T313" s="21"/>
      <c r="U313" s="21"/>
      <c r="V313" s="21"/>
      <c r="W313" s="21"/>
      <c r="X313" s="21"/>
      <c r="Y313" s="52">
        <v>227</v>
      </c>
      <c r="Z313" s="21">
        <v>250</v>
      </c>
      <c r="AA313" s="21" t="s">
        <v>17</v>
      </c>
      <c r="AB313" s="21">
        <v>1</v>
      </c>
      <c r="AC313" s="26">
        <v>0</v>
      </c>
      <c r="AD313" s="21" t="s">
        <v>44</v>
      </c>
      <c r="AE313" s="21" t="s">
        <v>211</v>
      </c>
      <c r="AF313" s="21" t="s">
        <v>208</v>
      </c>
      <c r="AG313" s="21">
        <f>6/2</f>
        <v>3</v>
      </c>
      <c r="AH313" s="22">
        <f>2/2</f>
        <v>1</v>
      </c>
      <c r="AI313" s="22">
        <f t="shared" si="43"/>
        <v>7.1999999999999993</v>
      </c>
      <c r="AJ313" s="22"/>
      <c r="AK313" s="21">
        <v>1</v>
      </c>
      <c r="AL313" s="21">
        <v>663</v>
      </c>
      <c r="AM313" s="23"/>
      <c r="AN313" s="23"/>
      <c r="AO313" s="23"/>
      <c r="AP313" s="23"/>
      <c r="AQ313" s="23">
        <v>0.56000000000000005</v>
      </c>
      <c r="AR313" s="23">
        <f>Table1[[#This Row],[Y_Acryl_Ac]]*Table1[[#This Row],[Ratio_Ac_Fa]]</f>
        <v>1.6800000000000002</v>
      </c>
      <c r="AS313" s="24">
        <f t="shared" si="42"/>
        <v>43.360958258255465</v>
      </c>
      <c r="AT313" s="35" t="s">
        <v>225</v>
      </c>
      <c r="AU313" s="21" t="s">
        <v>171</v>
      </c>
      <c r="AV313" s="37"/>
      <c r="AW313" s="21" t="s">
        <v>172</v>
      </c>
      <c r="AX313" s="21">
        <v>2022</v>
      </c>
      <c r="AY313" s="21">
        <v>0.5</v>
      </c>
      <c r="AZ313" s="26">
        <v>0.21508411834452115</v>
      </c>
      <c r="BA313" s="26">
        <v>0.21508411834452115</v>
      </c>
      <c r="BB313" s="26">
        <v>0.64525235503356337</v>
      </c>
      <c r="BC313" s="26">
        <f>BA313*60*AR313/AY313</f>
        <v>43.360958258255465</v>
      </c>
      <c r="BD313" s="26">
        <f>BB313*60*AQ313/AY313</f>
        <v>43.360958258255465</v>
      </c>
    </row>
    <row r="314" spans="1:56" s="18" customFormat="1">
      <c r="A314" s="10">
        <v>313</v>
      </c>
      <c r="B314" s="13"/>
      <c r="C314" s="21" t="s">
        <v>12</v>
      </c>
      <c r="D314" s="21"/>
      <c r="E314" s="27">
        <v>1</v>
      </c>
      <c r="F314" s="21"/>
      <c r="G314" s="21"/>
      <c r="H314" s="27"/>
      <c r="I314" s="21" t="s">
        <v>37</v>
      </c>
      <c r="J314" s="21"/>
      <c r="K314" s="21"/>
      <c r="L314" s="21">
        <v>0.05</v>
      </c>
      <c r="M314" s="21" t="s">
        <v>110</v>
      </c>
      <c r="N314" s="21"/>
      <c r="O314" s="21"/>
      <c r="P314" s="21">
        <v>5.0000000000000001E-3</v>
      </c>
      <c r="Q314" s="21"/>
      <c r="R314" s="21"/>
      <c r="S314" s="21"/>
      <c r="T314" s="21"/>
      <c r="U314" s="21"/>
      <c r="V314" s="21"/>
      <c r="W314" s="21"/>
      <c r="X314" s="21"/>
      <c r="Y314" s="52">
        <v>227</v>
      </c>
      <c r="Z314" s="21">
        <v>250</v>
      </c>
      <c r="AA314" s="21" t="s">
        <v>17</v>
      </c>
      <c r="AB314" s="21">
        <v>1</v>
      </c>
      <c r="AC314" s="26">
        <v>0</v>
      </c>
      <c r="AD314" s="21" t="s">
        <v>44</v>
      </c>
      <c r="AE314" s="21" t="s">
        <v>211</v>
      </c>
      <c r="AF314" s="21" t="s">
        <v>208</v>
      </c>
      <c r="AG314" s="21">
        <f>6/2</f>
        <v>3</v>
      </c>
      <c r="AH314" s="22">
        <f>6/2</f>
        <v>3</v>
      </c>
      <c r="AI314" s="22">
        <f t="shared" si="43"/>
        <v>7.1999999999999993</v>
      </c>
      <c r="AJ314" s="22"/>
      <c r="AK314" s="21">
        <v>1</v>
      </c>
      <c r="AL314" s="21">
        <v>663</v>
      </c>
      <c r="AM314" s="23"/>
      <c r="AN314" s="23"/>
      <c r="AO314" s="23"/>
      <c r="AP314" s="23"/>
      <c r="AQ314" s="23">
        <v>0.6</v>
      </c>
      <c r="AR314" s="23">
        <f>Table1[[#This Row],[Y_Acryl_Ac]]*Table1[[#This Row],[Ratio_Ac_Fa]]</f>
        <v>1.7999999999999998</v>
      </c>
      <c r="AS314" s="24">
        <f t="shared" si="42"/>
        <v>36.002799955142834</v>
      </c>
      <c r="AT314" s="35" t="s">
        <v>226</v>
      </c>
      <c r="AU314" s="21" t="s">
        <v>171</v>
      </c>
      <c r="AV314" s="37"/>
      <c r="AW314" s="21" t="s">
        <v>172</v>
      </c>
      <c r="AX314" s="21">
        <v>2022</v>
      </c>
      <c r="AY314" s="21">
        <v>0.5</v>
      </c>
      <c r="AZ314" s="26">
        <v>0.50003888826587273</v>
      </c>
      <c r="BA314" s="26">
        <v>0.16667962942195758</v>
      </c>
      <c r="BB314" s="26">
        <v>0.50003888826587273</v>
      </c>
      <c r="BC314" s="26">
        <f>BA314*60*AR314/AY314</f>
        <v>36.002799955142834</v>
      </c>
      <c r="BD314" s="26">
        <f>BB314*60*AQ314/AY314</f>
        <v>36.002799955142834</v>
      </c>
    </row>
    <row r="315" spans="1:56" s="18" customFormat="1">
      <c r="A315" s="10">
        <v>314</v>
      </c>
      <c r="B315" s="13"/>
      <c r="C315" s="21" t="s">
        <v>12</v>
      </c>
      <c r="D315" s="21"/>
      <c r="E315" s="27">
        <v>1</v>
      </c>
      <c r="F315" s="21"/>
      <c r="G315" s="21"/>
      <c r="H315" s="27"/>
      <c r="I315" s="21" t="s">
        <v>37</v>
      </c>
      <c r="J315" s="21"/>
      <c r="K315" s="21"/>
      <c r="L315" s="21">
        <v>0.05</v>
      </c>
      <c r="M315" s="21" t="s">
        <v>110</v>
      </c>
      <c r="N315" s="21"/>
      <c r="O315" s="21"/>
      <c r="P315" s="21">
        <v>5.0000000000000001E-3</v>
      </c>
      <c r="Q315" s="21"/>
      <c r="R315" s="21"/>
      <c r="S315" s="21"/>
      <c r="T315" s="21"/>
      <c r="U315" s="21"/>
      <c r="V315" s="21"/>
      <c r="W315" s="21"/>
      <c r="X315" s="21"/>
      <c r="Y315" s="52">
        <v>227</v>
      </c>
      <c r="Z315" s="21">
        <v>250</v>
      </c>
      <c r="AA315" s="21" t="s">
        <v>17</v>
      </c>
      <c r="AB315" s="21">
        <v>1</v>
      </c>
      <c r="AC315" s="26">
        <v>0</v>
      </c>
      <c r="AD315" s="21" t="s">
        <v>44</v>
      </c>
      <c r="AE315" s="21" t="s">
        <v>211</v>
      </c>
      <c r="AF315" s="21" t="s">
        <v>208</v>
      </c>
      <c r="AG315" s="21">
        <f>6/2</f>
        <v>3</v>
      </c>
      <c r="AH315" s="22">
        <f>8/2</f>
        <v>4</v>
      </c>
      <c r="AI315" s="22">
        <f t="shared" si="43"/>
        <v>7.1999999999999993</v>
      </c>
      <c r="AJ315" s="22"/>
      <c r="AK315" s="21">
        <v>1</v>
      </c>
      <c r="AL315" s="21">
        <v>663</v>
      </c>
      <c r="AM315" s="23">
        <f>Table1[[#This Row],[Y_Acryl_Ac]]/Table1[[#This Row],[S_Acryl_Ac]]</f>
        <v>0.75</v>
      </c>
      <c r="AN315" s="23">
        <v>0.84</v>
      </c>
      <c r="AO315" s="23"/>
      <c r="AP315" s="23"/>
      <c r="AQ315" s="23">
        <v>0.63</v>
      </c>
      <c r="AR315" s="23">
        <f>Table1[[#This Row],[Y_Acryl_Ac]]*Table1[[#This Row],[Ratio_Ac_Fa]]</f>
        <v>1.8900000000000001</v>
      </c>
      <c r="AS315" s="24">
        <f t="shared" si="42"/>
        <v>33.97942078796639</v>
      </c>
      <c r="AT315" s="35" t="s">
        <v>227</v>
      </c>
      <c r="AU315" s="21" t="s">
        <v>171</v>
      </c>
      <c r="AV315" s="37"/>
      <c r="AW315" s="21" t="s">
        <v>172</v>
      </c>
      <c r="AX315" s="21">
        <v>2022</v>
      </c>
      <c r="AY315" s="21">
        <v>0.5</v>
      </c>
      <c r="AZ315" s="26">
        <v>0.59928431724808451</v>
      </c>
      <c r="BA315" s="26">
        <v>0.1498210793120211</v>
      </c>
      <c r="BB315" s="26">
        <v>0.44946323793606335</v>
      </c>
      <c r="BC315" s="26">
        <f>BA315*60*AR315/AY315</f>
        <v>33.97942078796639</v>
      </c>
      <c r="BD315" s="26">
        <f>BB315*60*AQ315/AY315</f>
        <v>33.97942078796639</v>
      </c>
    </row>
    <row r="316" spans="1:56" s="18" customFormat="1">
      <c r="A316" s="10">
        <v>315</v>
      </c>
      <c r="B316" s="13"/>
      <c r="C316" s="21" t="s">
        <v>12</v>
      </c>
      <c r="D316" s="21"/>
      <c r="E316" s="27">
        <v>1</v>
      </c>
      <c r="F316" s="21"/>
      <c r="G316" s="21"/>
      <c r="H316" s="27"/>
      <c r="I316" s="21" t="s">
        <v>37</v>
      </c>
      <c r="J316" s="21"/>
      <c r="K316" s="21"/>
      <c r="L316" s="21">
        <v>0.05</v>
      </c>
      <c r="M316" s="21" t="s">
        <v>110</v>
      </c>
      <c r="N316" s="21"/>
      <c r="O316" s="21"/>
      <c r="P316" s="21">
        <v>5.0000000000000001E-3</v>
      </c>
      <c r="Q316" s="21"/>
      <c r="R316" s="21"/>
      <c r="S316" s="21"/>
      <c r="T316" s="21"/>
      <c r="U316" s="21"/>
      <c r="V316" s="21"/>
      <c r="W316" s="21"/>
      <c r="X316" s="21"/>
      <c r="Y316" s="52">
        <v>227</v>
      </c>
      <c r="Z316" s="21">
        <v>250</v>
      </c>
      <c r="AA316" s="21" t="s">
        <v>17</v>
      </c>
      <c r="AB316" s="21">
        <v>1</v>
      </c>
      <c r="AC316" s="26">
        <v>0</v>
      </c>
      <c r="AD316" s="21" t="s">
        <v>44</v>
      </c>
      <c r="AE316" s="21" t="s">
        <v>211</v>
      </c>
      <c r="AF316" s="21" t="s">
        <v>208</v>
      </c>
      <c r="AG316" s="21">
        <f>6/2</f>
        <v>3</v>
      </c>
      <c r="AH316" s="22">
        <f>10/2</f>
        <v>5</v>
      </c>
      <c r="AI316" s="22">
        <f t="shared" si="43"/>
        <v>7.1999999999999993</v>
      </c>
      <c r="AJ316" s="22"/>
      <c r="AK316" s="21">
        <v>1</v>
      </c>
      <c r="AL316" s="21">
        <v>663</v>
      </c>
      <c r="AM316" s="23"/>
      <c r="AN316" s="23"/>
      <c r="AO316" s="23"/>
      <c r="AP316" s="23"/>
      <c r="AQ316" s="23">
        <v>0.51</v>
      </c>
      <c r="AR316" s="23">
        <f>Table1[[#This Row],[Y_Acryl_Ac]]*Table1[[#This Row],[Ratio_Ac_Fa]]</f>
        <v>1.53</v>
      </c>
      <c r="AS316" s="24">
        <f t="shared" si="42"/>
        <v>24.980533244351008</v>
      </c>
      <c r="AT316" s="35" t="s">
        <v>228</v>
      </c>
      <c r="AU316" s="21" t="s">
        <v>171</v>
      </c>
      <c r="AV316" s="37"/>
      <c r="AW316" s="21" t="s">
        <v>172</v>
      </c>
      <c r="AX316" s="21">
        <v>2022</v>
      </c>
      <c r="AY316" s="21">
        <v>0.5</v>
      </c>
      <c r="AZ316" s="26">
        <v>0.68029774630585527</v>
      </c>
      <c r="BA316" s="26">
        <v>0.13605954926117109</v>
      </c>
      <c r="BB316" s="26">
        <v>0.40817864778351315</v>
      </c>
      <c r="BC316" s="26">
        <f>BA316*60*AR316/AY316</f>
        <v>24.980533244351012</v>
      </c>
      <c r="BD316" s="26">
        <f>BB316*60*AQ316/AY316</f>
        <v>24.980533244351005</v>
      </c>
    </row>
    <row r="317" spans="1:56" s="18" customFormat="1" ht="18" customHeight="1">
      <c r="A317" s="10">
        <v>316</v>
      </c>
      <c r="B317" s="13">
        <v>1</v>
      </c>
      <c r="C317" s="10" t="s">
        <v>10</v>
      </c>
      <c r="D317" s="10">
        <f>40/2</f>
        <v>20</v>
      </c>
      <c r="E317" s="27"/>
      <c r="F317" s="10" t="s">
        <v>12</v>
      </c>
      <c r="G317" s="10">
        <v>1</v>
      </c>
      <c r="H317" s="27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50">
        <v>384</v>
      </c>
      <c r="Z317" s="50"/>
      <c r="AA317" s="10" t="s">
        <v>4</v>
      </c>
      <c r="AB317" s="10">
        <v>1</v>
      </c>
      <c r="AC317" s="20">
        <v>0</v>
      </c>
      <c r="AD317" s="10" t="s">
        <v>44</v>
      </c>
      <c r="AE317" s="10" t="s">
        <v>211</v>
      </c>
      <c r="AF317" s="10" t="s">
        <v>95</v>
      </c>
      <c r="AG317" s="10">
        <v>5</v>
      </c>
      <c r="AH317" s="27">
        <v>0</v>
      </c>
      <c r="AI317" s="27">
        <f t="shared" ref="AI317:AI324" si="44">1.4/1.00756</f>
        <v>1.3894954146651315</v>
      </c>
      <c r="AJ317" s="27">
        <f t="shared" ref="AJ317:AJ324" si="45">50/0.5</f>
        <v>100</v>
      </c>
      <c r="AK317" s="10">
        <v>1</v>
      </c>
      <c r="AL317" s="10">
        <v>563</v>
      </c>
      <c r="AM317" s="19">
        <f>Table1[[#This Row],[Y_Acryl_Ac]]/Table1[[#This Row],[S_Acryl_Ac]]</f>
        <v>0.12289060975609756</v>
      </c>
      <c r="AN317" s="19">
        <f>(34.5+6.5)/(34.5+6.5+42)</f>
        <v>0.49397590361445781</v>
      </c>
      <c r="AO317" s="19">
        <v>0.31950000000000001</v>
      </c>
      <c r="AP317" s="19">
        <v>0.95</v>
      </c>
      <c r="AQ317" s="19">
        <f>Table1[[#This Row],[Y_Acryl_Fa]]/Table1[[#This Row],[Ratio_Ac_Fa]]</f>
        <v>6.0704999999999995E-2</v>
      </c>
      <c r="AR317" s="19">
        <f>Table1[[#This Row],[X_Fa]]*Table1[[#This Row],[S_Acryl_Fa]]</f>
        <v>0.30352499999999999</v>
      </c>
      <c r="AS317" s="28">
        <f t="shared" si="42"/>
        <v>1.0611967135329499</v>
      </c>
      <c r="AT317" s="29" t="s">
        <v>285</v>
      </c>
      <c r="AU317" s="10" t="s">
        <v>60</v>
      </c>
      <c r="AV317" s="19"/>
      <c r="AW317" s="10" t="s">
        <v>173</v>
      </c>
      <c r="AX317" s="10">
        <v>2022</v>
      </c>
      <c r="AY317" s="10">
        <v>0.5</v>
      </c>
      <c r="AZ317" s="10"/>
      <c r="BA317" s="20">
        <v>2.9135346169534355E-2</v>
      </c>
      <c r="BB317" s="20">
        <v>0.14567673084767177</v>
      </c>
      <c r="BC317" s="20">
        <f>BA317*60*AR317/AY317</f>
        <v>1.0611967135329499</v>
      </c>
      <c r="BD317" s="20">
        <f>BB317*60*AQ317/AY317</f>
        <v>1.0611967135329499</v>
      </c>
    </row>
    <row r="318" spans="1:56" s="18" customFormat="1" ht="18" customHeight="1">
      <c r="A318" s="10">
        <v>317</v>
      </c>
      <c r="B318" s="13">
        <v>1</v>
      </c>
      <c r="C318" s="10" t="s">
        <v>10</v>
      </c>
      <c r="D318" s="10">
        <f>40/2</f>
        <v>20</v>
      </c>
      <c r="E318" s="27"/>
      <c r="F318" s="10" t="s">
        <v>12</v>
      </c>
      <c r="G318" s="10">
        <v>1</v>
      </c>
      <c r="H318" s="27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50">
        <v>384</v>
      </c>
      <c r="Z318" s="50"/>
      <c r="AA318" s="10" t="s">
        <v>4</v>
      </c>
      <c r="AB318" s="10">
        <v>1</v>
      </c>
      <c r="AC318" s="20">
        <v>0</v>
      </c>
      <c r="AD318" s="10" t="s">
        <v>44</v>
      </c>
      <c r="AE318" s="10" t="s">
        <v>211</v>
      </c>
      <c r="AF318" s="10" t="s">
        <v>95</v>
      </c>
      <c r="AG318" s="10">
        <v>5</v>
      </c>
      <c r="AH318" s="27">
        <v>0</v>
      </c>
      <c r="AI318" s="27">
        <f t="shared" si="44"/>
        <v>1.3894954146651315</v>
      </c>
      <c r="AJ318" s="27">
        <f t="shared" si="45"/>
        <v>100</v>
      </c>
      <c r="AK318" s="10">
        <v>1</v>
      </c>
      <c r="AL318" s="10">
        <v>583</v>
      </c>
      <c r="AM318" s="19"/>
      <c r="AN318" s="19"/>
      <c r="AO318" s="19">
        <v>0.45119999999999999</v>
      </c>
      <c r="AP318" s="19">
        <v>0.87</v>
      </c>
      <c r="AQ318" s="19">
        <f>Table1[[#This Row],[Y_Acryl_Fa]]/Table1[[#This Row],[Ratio_Ac_Fa]]</f>
        <v>7.8508800000000004E-2</v>
      </c>
      <c r="AR318" s="19">
        <f>Table1[[#This Row],[X_Fa]]*Table1[[#This Row],[S_Acryl_Fa]]</f>
        <v>0.392544</v>
      </c>
      <c r="AS318" s="28">
        <f t="shared" si="42"/>
        <v>1.3724286392128433</v>
      </c>
      <c r="AT318" s="29"/>
      <c r="AU318" s="10" t="s">
        <v>60</v>
      </c>
      <c r="AV318" s="19"/>
      <c r="AW318" s="10" t="s">
        <v>173</v>
      </c>
      <c r="AX318" s="10">
        <v>2022</v>
      </c>
      <c r="AY318" s="10">
        <v>0.5</v>
      </c>
      <c r="AZ318" s="10"/>
      <c r="BA318" s="20">
        <v>2.9135346169534355E-2</v>
      </c>
      <c r="BB318" s="20">
        <v>0.14567673084767177</v>
      </c>
      <c r="BC318" s="20">
        <f>BA318*60*AR318/AY318</f>
        <v>1.3724286392128433</v>
      </c>
      <c r="BD318" s="20">
        <f>BB318*60*AQ318/AY318</f>
        <v>1.3724286392128433</v>
      </c>
    </row>
    <row r="319" spans="1:56" s="18" customFormat="1" ht="18" customHeight="1">
      <c r="A319" s="10">
        <v>318</v>
      </c>
      <c r="B319" s="13">
        <v>1</v>
      </c>
      <c r="C319" s="10" t="s">
        <v>10</v>
      </c>
      <c r="D319" s="10">
        <f>222/2</f>
        <v>111</v>
      </c>
      <c r="E319" s="27"/>
      <c r="F319" s="10" t="s">
        <v>12</v>
      </c>
      <c r="G319" s="10">
        <v>1</v>
      </c>
      <c r="H319" s="27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50">
        <v>364</v>
      </c>
      <c r="Z319" s="50"/>
      <c r="AA319" s="10" t="s">
        <v>4</v>
      </c>
      <c r="AB319" s="10">
        <v>1</v>
      </c>
      <c r="AC319" s="20">
        <v>0</v>
      </c>
      <c r="AD319" s="10" t="s">
        <v>44</v>
      </c>
      <c r="AE319" s="10" t="s">
        <v>211</v>
      </c>
      <c r="AF319" s="10" t="s">
        <v>95</v>
      </c>
      <c r="AG319" s="10">
        <v>5</v>
      </c>
      <c r="AH319" s="27">
        <v>0</v>
      </c>
      <c r="AI319" s="27">
        <f t="shared" si="44"/>
        <v>1.3894954146651315</v>
      </c>
      <c r="AJ319" s="27">
        <f t="shared" si="45"/>
        <v>100</v>
      </c>
      <c r="AK319" s="10">
        <v>1</v>
      </c>
      <c r="AL319" s="10">
        <v>563</v>
      </c>
      <c r="AM319" s="19"/>
      <c r="AN319" s="19"/>
      <c r="AO319" s="19">
        <v>0.1978</v>
      </c>
      <c r="AP319" s="19">
        <v>0.95</v>
      </c>
      <c r="AQ319" s="19">
        <f>Table1[[#This Row],[Y_Acryl_Fa]]/Table1[[#This Row],[Ratio_Ac_Fa]]</f>
        <v>3.7581999999999997E-2</v>
      </c>
      <c r="AR319" s="19">
        <f>Table1[[#This Row],[X_Fa]]*Table1[[#This Row],[S_Acryl_Fa]]</f>
        <v>0.18790999999999999</v>
      </c>
      <c r="AS319" s="28">
        <f t="shared" si="42"/>
        <v>0.65697874784606403</v>
      </c>
      <c r="AT319" s="29"/>
      <c r="AU319" s="10" t="s">
        <v>60</v>
      </c>
      <c r="AV319" s="19"/>
      <c r="AW319" s="10" t="s">
        <v>173</v>
      </c>
      <c r="AX319" s="10">
        <v>2022</v>
      </c>
      <c r="AY319" s="10">
        <v>0.5</v>
      </c>
      <c r="AZ319" s="10"/>
      <c r="BA319" s="20">
        <v>2.9135346169534355E-2</v>
      </c>
      <c r="BB319" s="20">
        <v>0.14567673084767177</v>
      </c>
      <c r="BC319" s="20">
        <f>BA319*60*AR319/AY319</f>
        <v>0.65697874784606403</v>
      </c>
      <c r="BD319" s="20">
        <f>BB319*60*AQ319/AY319</f>
        <v>0.65697874784606403</v>
      </c>
    </row>
    <row r="320" spans="1:56" s="18" customFormat="1" ht="18" customHeight="1">
      <c r="A320" s="10">
        <v>319</v>
      </c>
      <c r="B320" s="13">
        <v>1</v>
      </c>
      <c r="C320" s="10" t="s">
        <v>10</v>
      </c>
      <c r="D320" s="10">
        <f>222/2</f>
        <v>111</v>
      </c>
      <c r="E320" s="27"/>
      <c r="F320" s="10" t="s">
        <v>12</v>
      </c>
      <c r="G320" s="10">
        <v>1</v>
      </c>
      <c r="H320" s="27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50">
        <v>364</v>
      </c>
      <c r="Z320" s="50"/>
      <c r="AA320" s="10" t="s">
        <v>4</v>
      </c>
      <c r="AB320" s="10">
        <v>1</v>
      </c>
      <c r="AC320" s="20">
        <v>0</v>
      </c>
      <c r="AD320" s="10" t="s">
        <v>44</v>
      </c>
      <c r="AE320" s="10" t="s">
        <v>211</v>
      </c>
      <c r="AF320" s="10" t="s">
        <v>95</v>
      </c>
      <c r="AG320" s="10">
        <v>5</v>
      </c>
      <c r="AH320" s="27">
        <v>0</v>
      </c>
      <c r="AI320" s="27">
        <f t="shared" si="44"/>
        <v>1.3894954146651315</v>
      </c>
      <c r="AJ320" s="27">
        <f t="shared" si="45"/>
        <v>100</v>
      </c>
      <c r="AK320" s="10">
        <v>1</v>
      </c>
      <c r="AL320" s="10">
        <v>583</v>
      </c>
      <c r="AM320" s="19"/>
      <c r="AN320" s="19"/>
      <c r="AO320" s="19">
        <v>0.29670000000000002</v>
      </c>
      <c r="AP320" s="19">
        <v>0.92</v>
      </c>
      <c r="AQ320" s="19">
        <f>Table1[[#This Row],[Y_Acryl_Fa]]/Table1[[#This Row],[Ratio_Ac_Fa]]</f>
        <v>5.4592800000000011E-2</v>
      </c>
      <c r="AR320" s="19">
        <f>Table1[[#This Row],[X_Fa]]*Table1[[#This Row],[S_Acryl_Fa]]</f>
        <v>0.27296400000000004</v>
      </c>
      <c r="AS320" s="28">
        <f t="shared" si="42"/>
        <v>0.95434807581849324</v>
      </c>
      <c r="AT320" s="29"/>
      <c r="AU320" s="10" t="s">
        <v>60</v>
      </c>
      <c r="AV320" s="19"/>
      <c r="AW320" s="10" t="s">
        <v>173</v>
      </c>
      <c r="AX320" s="10">
        <v>2022</v>
      </c>
      <c r="AY320" s="10">
        <v>0.5</v>
      </c>
      <c r="AZ320" s="10"/>
      <c r="BA320" s="20">
        <v>2.9135346169534355E-2</v>
      </c>
      <c r="BB320" s="20">
        <v>0.14567673084767177</v>
      </c>
      <c r="BC320" s="20">
        <f>BA320*60*AR320/AY320</f>
        <v>0.95434807581849324</v>
      </c>
      <c r="BD320" s="20">
        <f>BB320*60*AQ320/AY320</f>
        <v>0.95434807581849335</v>
      </c>
    </row>
    <row r="321" spans="1:56" s="18" customFormat="1" ht="18" customHeight="1">
      <c r="A321" s="10">
        <v>320</v>
      </c>
      <c r="B321" s="13">
        <v>1</v>
      </c>
      <c r="C321" s="10" t="s">
        <v>10</v>
      </c>
      <c r="D321" s="10">
        <f>36/2</f>
        <v>18</v>
      </c>
      <c r="E321" s="27"/>
      <c r="F321" s="10" t="s">
        <v>12</v>
      </c>
      <c r="G321" s="10">
        <v>1</v>
      </c>
      <c r="H321" s="27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50">
        <v>372</v>
      </c>
      <c r="Z321" s="50"/>
      <c r="AA321" s="10" t="s">
        <v>4</v>
      </c>
      <c r="AB321" s="10">
        <v>1</v>
      </c>
      <c r="AC321" s="20">
        <v>0</v>
      </c>
      <c r="AD321" s="10" t="s">
        <v>44</v>
      </c>
      <c r="AE321" s="10" t="s">
        <v>211</v>
      </c>
      <c r="AF321" s="10" t="s">
        <v>95</v>
      </c>
      <c r="AG321" s="10">
        <v>5</v>
      </c>
      <c r="AH321" s="27">
        <v>0</v>
      </c>
      <c r="AI321" s="27">
        <f t="shared" si="44"/>
        <v>1.3894954146651315</v>
      </c>
      <c r="AJ321" s="27">
        <f t="shared" si="45"/>
        <v>100</v>
      </c>
      <c r="AK321" s="10">
        <v>1</v>
      </c>
      <c r="AL321" s="10">
        <v>563</v>
      </c>
      <c r="AM321" s="19"/>
      <c r="AN321" s="19"/>
      <c r="AO321" s="19">
        <v>0.06</v>
      </c>
      <c r="AP321" s="19">
        <v>0.88</v>
      </c>
      <c r="AQ321" s="19">
        <f>Table1[[#This Row],[Y_Acryl_Fa]]/Table1[[#This Row],[Ratio_Ac_Fa]]</f>
        <v>1.056E-2</v>
      </c>
      <c r="AR321" s="19">
        <f>Table1[[#This Row],[X_Fa]]*Table1[[#This Row],[S_Acryl_Fa]]</f>
        <v>5.28E-2</v>
      </c>
      <c r="AS321" s="28">
        <f t="shared" si="42"/>
        <v>0.18460155333016967</v>
      </c>
      <c r="AT321" s="29" t="s">
        <v>286</v>
      </c>
      <c r="AU321" s="10" t="s">
        <v>60</v>
      </c>
      <c r="AV321" s="19"/>
      <c r="AW321" s="10" t="s">
        <v>173</v>
      </c>
      <c r="AX321" s="10">
        <v>2022</v>
      </c>
      <c r="AY321" s="10">
        <v>0.5</v>
      </c>
      <c r="AZ321" s="10"/>
      <c r="BA321" s="20">
        <v>2.9135346169534355E-2</v>
      </c>
      <c r="BB321" s="20">
        <v>0.14567673084767177</v>
      </c>
      <c r="BC321" s="20">
        <f>BA321*60*AR321/AY321</f>
        <v>0.18460155333016967</v>
      </c>
      <c r="BD321" s="20">
        <f>BB321*60*AQ321/AY321</f>
        <v>0.18460155333016967</v>
      </c>
    </row>
    <row r="322" spans="1:56" s="18" customFormat="1" ht="18" customHeight="1">
      <c r="A322" s="10">
        <v>321</v>
      </c>
      <c r="B322" s="13">
        <v>1</v>
      </c>
      <c r="C322" s="10" t="s">
        <v>10</v>
      </c>
      <c r="D322" s="10">
        <f>38/2</f>
        <v>19</v>
      </c>
      <c r="E322" s="27"/>
      <c r="F322" s="10" t="s">
        <v>12</v>
      </c>
      <c r="G322" s="10">
        <v>1</v>
      </c>
      <c r="H322" s="27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50">
        <v>300</v>
      </c>
      <c r="Z322" s="10"/>
      <c r="AA322" s="10" t="s">
        <v>4</v>
      </c>
      <c r="AB322" s="10">
        <v>1</v>
      </c>
      <c r="AC322" s="20">
        <v>0</v>
      </c>
      <c r="AD322" s="10" t="s">
        <v>44</v>
      </c>
      <c r="AE322" s="10" t="s">
        <v>211</v>
      </c>
      <c r="AF322" s="10" t="s">
        <v>95</v>
      </c>
      <c r="AG322" s="10">
        <v>5</v>
      </c>
      <c r="AH322" s="27">
        <v>0</v>
      </c>
      <c r="AI322" s="27">
        <f t="shared" si="44"/>
        <v>1.3894954146651315</v>
      </c>
      <c r="AJ322" s="27">
        <f t="shared" si="45"/>
        <v>100</v>
      </c>
      <c r="AK322" s="10">
        <v>1</v>
      </c>
      <c r="AL322" s="10">
        <v>563</v>
      </c>
      <c r="AM322" s="19"/>
      <c r="AN322" s="19"/>
      <c r="AO322" s="19">
        <v>0.17419999999999999</v>
      </c>
      <c r="AP322" s="19">
        <v>0.95</v>
      </c>
      <c r="AQ322" s="19">
        <f>Table1[[#This Row],[Y_Acryl_Fa]]/Table1[[#This Row],[Ratio_Ac_Fa]]</f>
        <v>3.3098000000000002E-2</v>
      </c>
      <c r="AR322" s="19">
        <f>Table1[[#This Row],[X_Fa]]*Table1[[#This Row],[S_Acryl_Fa]]</f>
        <v>0.16549</v>
      </c>
      <c r="AS322" s="28">
        <f t="shared" si="42"/>
        <v>0.57859301251154882</v>
      </c>
      <c r="AT322" s="29"/>
      <c r="AU322" s="10" t="s">
        <v>60</v>
      </c>
      <c r="AV322" s="19"/>
      <c r="AW322" s="10" t="s">
        <v>173</v>
      </c>
      <c r="AX322" s="10">
        <v>2022</v>
      </c>
      <c r="AY322" s="10">
        <v>0.5</v>
      </c>
      <c r="AZ322" s="10"/>
      <c r="BA322" s="20">
        <v>2.9135346169534355E-2</v>
      </c>
      <c r="BB322" s="20">
        <v>0.14567673084767177</v>
      </c>
      <c r="BC322" s="20">
        <f>BA322*60*AR322/AY322</f>
        <v>0.57859301251154882</v>
      </c>
      <c r="BD322" s="20">
        <f>BB322*60*AQ322/AY322</f>
        <v>0.57859301251154893</v>
      </c>
    </row>
    <row r="323" spans="1:56" s="18" customFormat="1" ht="18" customHeight="1">
      <c r="A323" s="10">
        <v>322</v>
      </c>
      <c r="B323" s="13">
        <v>1</v>
      </c>
      <c r="C323" s="10" t="s">
        <v>10</v>
      </c>
      <c r="D323" s="10">
        <f>28/2</f>
        <v>14</v>
      </c>
      <c r="E323" s="27"/>
      <c r="F323" s="10" t="s">
        <v>12</v>
      </c>
      <c r="G323" s="10">
        <v>1</v>
      </c>
      <c r="H323" s="27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>
        <v>400</v>
      </c>
      <c r="Z323" s="10"/>
      <c r="AA323" s="10" t="s">
        <v>4</v>
      </c>
      <c r="AB323" s="10">
        <v>1</v>
      </c>
      <c r="AC323" s="20">
        <v>0</v>
      </c>
      <c r="AD323" s="10" t="s">
        <v>44</v>
      </c>
      <c r="AE323" s="10" t="s">
        <v>211</v>
      </c>
      <c r="AF323" s="10" t="s">
        <v>95</v>
      </c>
      <c r="AG323" s="10">
        <v>5</v>
      </c>
      <c r="AH323" s="27">
        <v>0</v>
      </c>
      <c r="AI323" s="27">
        <f t="shared" si="44"/>
        <v>1.3894954146651315</v>
      </c>
      <c r="AJ323" s="27">
        <f t="shared" si="45"/>
        <v>100</v>
      </c>
      <c r="AK323" s="10">
        <v>1</v>
      </c>
      <c r="AL323" s="10">
        <v>563</v>
      </c>
      <c r="AM323" s="19"/>
      <c r="AN323" s="19"/>
      <c r="AO323" s="19">
        <v>5.7599999999999998E-2</v>
      </c>
      <c r="AP323" s="19">
        <v>0.95</v>
      </c>
      <c r="AQ323" s="19">
        <f>Table1[[#This Row],[Y_Acryl_Fa]]/Table1[[#This Row],[Ratio_Ac_Fa]]</f>
        <v>1.0943999999999999E-2</v>
      </c>
      <c r="AR323" s="19">
        <f>Table1[[#This Row],[X_Fa]]*Table1[[#This Row],[S_Acryl_Fa]]</f>
        <v>5.4719999999999998E-2</v>
      </c>
      <c r="AS323" s="28">
        <f t="shared" si="42"/>
        <v>0.19131433708763038</v>
      </c>
      <c r="AT323" s="29"/>
      <c r="AU323" s="10" t="s">
        <v>60</v>
      </c>
      <c r="AV323" s="19"/>
      <c r="AW323" s="10" t="s">
        <v>173</v>
      </c>
      <c r="AX323" s="10">
        <v>2022</v>
      </c>
      <c r="AY323" s="10">
        <v>0.5</v>
      </c>
      <c r="AZ323" s="10"/>
      <c r="BA323" s="20">
        <v>2.9135346169534355E-2</v>
      </c>
      <c r="BB323" s="20">
        <v>0.14567673084767177</v>
      </c>
      <c r="BC323" s="20">
        <f>BA323*60*AR323/AY323</f>
        <v>0.19131433708763038</v>
      </c>
      <c r="BD323" s="20">
        <f>BB323*60*AQ323/AY323</f>
        <v>0.19131433708763038</v>
      </c>
    </row>
    <row r="324" spans="1:56" s="18" customFormat="1" ht="18" customHeight="1">
      <c r="A324" s="10">
        <v>323</v>
      </c>
      <c r="B324" s="13">
        <v>1</v>
      </c>
      <c r="C324" s="10" t="s">
        <v>10</v>
      </c>
      <c r="D324" s="10">
        <f>36/2</f>
        <v>18</v>
      </c>
      <c r="E324" s="27"/>
      <c r="F324" s="10" t="s">
        <v>12</v>
      </c>
      <c r="G324" s="10">
        <v>1</v>
      </c>
      <c r="H324" s="27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50">
        <v>600</v>
      </c>
      <c r="Z324" s="10"/>
      <c r="AA324" s="10" t="s">
        <v>4</v>
      </c>
      <c r="AB324" s="10">
        <v>1</v>
      </c>
      <c r="AC324" s="20">
        <v>0</v>
      </c>
      <c r="AD324" s="10" t="s">
        <v>44</v>
      </c>
      <c r="AE324" s="10" t="s">
        <v>211</v>
      </c>
      <c r="AF324" s="10" t="s">
        <v>95</v>
      </c>
      <c r="AG324" s="10">
        <v>5</v>
      </c>
      <c r="AH324" s="27">
        <v>0</v>
      </c>
      <c r="AI324" s="27">
        <f t="shared" si="44"/>
        <v>1.3894954146651315</v>
      </c>
      <c r="AJ324" s="27">
        <f t="shared" si="45"/>
        <v>100</v>
      </c>
      <c r="AK324" s="10">
        <v>1</v>
      </c>
      <c r="AL324" s="10">
        <v>563</v>
      </c>
      <c r="AM324" s="19"/>
      <c r="AN324" s="19"/>
      <c r="AO324" s="19">
        <v>0.2402</v>
      </c>
      <c r="AP324" s="19">
        <v>0.95</v>
      </c>
      <c r="AQ324" s="19">
        <f>Table1[[#This Row],[Y_Acryl_Fa]]/Table1[[#This Row],[Ratio_Ac_Fa]]</f>
        <v>4.5637999999999998E-2</v>
      </c>
      <c r="AR324" s="19">
        <f>Table1[[#This Row],[X_Fa]]*Table1[[#This Row],[S_Acryl_Fa]]</f>
        <v>0.22818999999999998</v>
      </c>
      <c r="AS324" s="28">
        <f t="shared" si="42"/>
        <v>0.79780735709112527</v>
      </c>
      <c r="AT324" s="16"/>
      <c r="AU324" s="10" t="s">
        <v>60</v>
      </c>
      <c r="AV324" s="19"/>
      <c r="AW324" s="10" t="s">
        <v>173</v>
      </c>
      <c r="AX324" s="10">
        <v>2022</v>
      </c>
      <c r="AY324" s="10">
        <v>0.5</v>
      </c>
      <c r="AZ324" s="10"/>
      <c r="BA324" s="20">
        <v>2.9135346169534355E-2</v>
      </c>
      <c r="BB324" s="20">
        <v>0.14567673084767177</v>
      </c>
      <c r="BC324" s="20">
        <f>BA324*60*AR324/AY324</f>
        <v>0.79780735709112527</v>
      </c>
      <c r="BD324" s="20">
        <f>BB324*60*AQ324/AY324</f>
        <v>0.79780735709112538</v>
      </c>
    </row>
    <row r="325" spans="1:56" s="18" customFormat="1">
      <c r="A325" s="10">
        <v>324</v>
      </c>
      <c r="B325" s="13"/>
      <c r="C325" s="10" t="s">
        <v>10</v>
      </c>
      <c r="D325" s="10"/>
      <c r="E325" s="27">
        <v>1</v>
      </c>
      <c r="F325" s="10"/>
      <c r="G325" s="10"/>
      <c r="H325" s="27"/>
      <c r="I325" s="10" t="s">
        <v>207</v>
      </c>
      <c r="J325" s="10"/>
      <c r="K325" s="10"/>
      <c r="L325" s="10">
        <v>0.12</v>
      </c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50">
        <v>123</v>
      </c>
      <c r="Z325" s="10">
        <v>192</v>
      </c>
      <c r="AA325" s="10" t="s">
        <v>4</v>
      </c>
      <c r="AB325" s="10">
        <v>1</v>
      </c>
      <c r="AC325" s="20">
        <v>0</v>
      </c>
      <c r="AD325" s="10" t="s">
        <v>43</v>
      </c>
      <c r="AE325" s="10" t="s">
        <v>211</v>
      </c>
      <c r="AF325" s="10" t="s">
        <v>95</v>
      </c>
      <c r="AG325" s="10">
        <v>3</v>
      </c>
      <c r="AH325" s="27">
        <v>0</v>
      </c>
      <c r="AI325" s="27">
        <f>8/3</f>
        <v>2.6666666666666665</v>
      </c>
      <c r="AJ325" s="27">
        <f>20/3</f>
        <v>6.666666666666667</v>
      </c>
      <c r="AK325" s="10">
        <v>1</v>
      </c>
      <c r="AL325" s="10">
        <v>673</v>
      </c>
      <c r="AM325" s="19"/>
      <c r="AN325" s="19"/>
      <c r="AO325" s="19">
        <v>0.26200000000000001</v>
      </c>
      <c r="AP325" s="19">
        <v>0.91</v>
      </c>
      <c r="AQ325" s="19">
        <f>Table1[[#This Row],[Y_Acryl_Fa]]/Table1[[#This Row],[Ratio_Ac_Fa]]</f>
        <v>7.947333333333334E-2</v>
      </c>
      <c r="AR325" s="19">
        <f>Table1[[#This Row],[X_Fa]]*Table1[[#This Row],[S_Acryl_Fa]]</f>
        <v>0.23842000000000002</v>
      </c>
      <c r="AS325" s="28">
        <f t="shared" si="42"/>
        <v>3.7021382921639381</v>
      </c>
      <c r="AT325" s="29"/>
      <c r="AU325" s="10" t="s">
        <v>62</v>
      </c>
      <c r="AV325" s="19"/>
      <c r="AW325" s="10" t="s">
        <v>174</v>
      </c>
      <c r="AX325" s="10">
        <v>2022</v>
      </c>
      <c r="AY325" s="10">
        <v>3</v>
      </c>
      <c r="AZ325" s="10"/>
      <c r="BA325" s="20">
        <v>0.77639004533259337</v>
      </c>
      <c r="BB325" s="20">
        <v>2.3291701359977797</v>
      </c>
      <c r="BC325" s="20">
        <f>BA325*60*AR325/AY325</f>
        <v>3.7021382921639385</v>
      </c>
      <c r="BD325" s="20">
        <f>BB325*60*AQ325/AY325</f>
        <v>3.7021382921639376</v>
      </c>
    </row>
    <row r="326" spans="1:56" s="18" customFormat="1">
      <c r="A326" s="10">
        <v>325</v>
      </c>
      <c r="B326" s="13"/>
      <c r="C326" s="10" t="s">
        <v>10</v>
      </c>
      <c r="D326" s="10"/>
      <c r="E326" s="27">
        <v>1</v>
      </c>
      <c r="F326" s="10"/>
      <c r="G326" s="10"/>
      <c r="H326" s="27"/>
      <c r="I326" s="10" t="s">
        <v>207</v>
      </c>
      <c r="J326" s="10"/>
      <c r="K326" s="10"/>
      <c r="L326" s="10">
        <v>0.12</v>
      </c>
      <c r="M326" s="10" t="s">
        <v>0</v>
      </c>
      <c r="N326" s="10"/>
      <c r="O326" s="10"/>
      <c r="P326" s="10">
        <v>0.03</v>
      </c>
      <c r="Q326" s="10"/>
      <c r="R326" s="10"/>
      <c r="S326" s="10"/>
      <c r="T326" s="10"/>
      <c r="U326" s="10"/>
      <c r="V326" s="10"/>
      <c r="W326" s="10"/>
      <c r="X326" s="10"/>
      <c r="Y326" s="50">
        <v>92</v>
      </c>
      <c r="Z326" s="10">
        <v>192</v>
      </c>
      <c r="AA326" s="10" t="s">
        <v>17</v>
      </c>
      <c r="AB326" s="10">
        <v>1</v>
      </c>
      <c r="AC326" s="20">
        <v>0</v>
      </c>
      <c r="AD326" s="10" t="s">
        <v>43</v>
      </c>
      <c r="AE326" s="10" t="s">
        <v>211</v>
      </c>
      <c r="AF326" s="10" t="s">
        <v>95</v>
      </c>
      <c r="AG326" s="10">
        <v>3</v>
      </c>
      <c r="AH326" s="27">
        <v>0</v>
      </c>
      <c r="AI326" s="27">
        <f>8/3</f>
        <v>2.6666666666666665</v>
      </c>
      <c r="AJ326" s="27">
        <f>20/3</f>
        <v>6.666666666666667</v>
      </c>
      <c r="AK326" s="10">
        <v>1</v>
      </c>
      <c r="AL326" s="10">
        <v>673</v>
      </c>
      <c r="AM326" s="19"/>
      <c r="AN326" s="19"/>
      <c r="AO326" s="19">
        <v>0.376</v>
      </c>
      <c r="AP326" s="19">
        <v>0.96340000000000003</v>
      </c>
      <c r="AQ326" s="19">
        <f>Table1[[#This Row],[Y_Acryl_Fa]]/Table1[[#This Row],[Ratio_Ac_Fa]]</f>
        <v>0.12074613333333334</v>
      </c>
      <c r="AR326" s="19">
        <f>Table1[[#This Row],[X_Fa]]*Table1[[#This Row],[S_Acryl_Fa]]</f>
        <v>0.36223840000000002</v>
      </c>
      <c r="AS326" s="28">
        <f t="shared" si="42"/>
        <v>5.6247657559441215</v>
      </c>
      <c r="AT326" s="29">
        <v>1</v>
      </c>
      <c r="AU326" s="10" t="s">
        <v>62</v>
      </c>
      <c r="AV326" s="19" t="s">
        <v>63</v>
      </c>
      <c r="AW326" s="10" t="s">
        <v>174</v>
      </c>
      <c r="AX326" s="10">
        <v>2022</v>
      </c>
      <c r="AY326" s="10">
        <v>3</v>
      </c>
      <c r="AZ326" s="10"/>
      <c r="BA326" s="20">
        <v>0.77639004533259337</v>
      </c>
      <c r="BB326" s="20">
        <v>2.3291701359977797</v>
      </c>
      <c r="BC326" s="20">
        <f>BA326*60*AR326/AY326</f>
        <v>5.6247657559441215</v>
      </c>
      <c r="BD326" s="20">
        <f>BB326*60*AQ326/AY326</f>
        <v>5.6247657559441215</v>
      </c>
    </row>
    <row r="327" spans="1:56" s="18" customFormat="1">
      <c r="A327" s="10">
        <v>326</v>
      </c>
      <c r="B327" s="13"/>
      <c r="C327" s="10" t="s">
        <v>10</v>
      </c>
      <c r="D327" s="10"/>
      <c r="E327" s="27">
        <v>1</v>
      </c>
      <c r="F327" s="10"/>
      <c r="G327" s="10"/>
      <c r="H327" s="27"/>
      <c r="I327" s="10" t="s">
        <v>207</v>
      </c>
      <c r="J327" s="10"/>
      <c r="K327" s="10"/>
      <c r="L327" s="10">
        <v>0.12</v>
      </c>
      <c r="M327" s="10" t="s">
        <v>9</v>
      </c>
      <c r="N327" s="10"/>
      <c r="O327" s="10"/>
      <c r="P327" s="10">
        <v>0.03</v>
      </c>
      <c r="Q327" s="10"/>
      <c r="R327" s="10"/>
      <c r="S327" s="10"/>
      <c r="T327" s="10"/>
      <c r="U327" s="10"/>
      <c r="V327" s="10"/>
      <c r="W327" s="10"/>
      <c r="X327" s="10"/>
      <c r="Y327" s="50">
        <v>105</v>
      </c>
      <c r="Z327" s="10">
        <v>192</v>
      </c>
      <c r="AA327" s="10" t="s">
        <v>17</v>
      </c>
      <c r="AB327" s="10">
        <v>1</v>
      </c>
      <c r="AC327" s="20">
        <v>0</v>
      </c>
      <c r="AD327" s="10" t="s">
        <v>43</v>
      </c>
      <c r="AE327" s="10" t="s">
        <v>211</v>
      </c>
      <c r="AF327" s="10" t="s">
        <v>95</v>
      </c>
      <c r="AG327" s="10">
        <v>3</v>
      </c>
      <c r="AH327" s="27">
        <v>0</v>
      </c>
      <c r="AI327" s="27">
        <f>8/3</f>
        <v>2.6666666666666665</v>
      </c>
      <c r="AJ327" s="27">
        <f>20/3</f>
        <v>6.666666666666667</v>
      </c>
      <c r="AK327" s="10">
        <v>1</v>
      </c>
      <c r="AL327" s="10">
        <v>673</v>
      </c>
      <c r="AM327" s="19"/>
      <c r="AN327" s="19"/>
      <c r="AO327" s="19">
        <v>0.372</v>
      </c>
      <c r="AP327" s="19">
        <v>0.9486</v>
      </c>
      <c r="AQ327" s="19">
        <f>Table1[[#This Row],[Y_Acryl_Fa]]/Table1[[#This Row],[Ratio_Ac_Fa]]</f>
        <v>0.11762640000000001</v>
      </c>
      <c r="AR327" s="19">
        <f>Table1[[#This Row],[X_Fa]]*Table1[[#This Row],[S_Acryl_Fa]]</f>
        <v>0.3528792</v>
      </c>
      <c r="AS327" s="28">
        <f t="shared" si="42"/>
        <v>5.4794379616985855</v>
      </c>
      <c r="AT327" s="29"/>
      <c r="AU327" s="10" t="s">
        <v>62</v>
      </c>
      <c r="AV327" s="19"/>
      <c r="AW327" s="10" t="s">
        <v>174</v>
      </c>
      <c r="AX327" s="10">
        <v>2022</v>
      </c>
      <c r="AY327" s="10">
        <v>3</v>
      </c>
      <c r="AZ327" s="10"/>
      <c r="BA327" s="20">
        <v>0.77639004533259337</v>
      </c>
      <c r="BB327" s="20">
        <v>2.3291701359977797</v>
      </c>
      <c r="BC327" s="20">
        <f>BA327*60*AR327/AY327</f>
        <v>5.4794379616985855</v>
      </c>
      <c r="BD327" s="20">
        <f>BB327*60*AQ327/AY327</f>
        <v>5.4794379616985855</v>
      </c>
    </row>
    <row r="328" spans="1:56" s="18" customFormat="1">
      <c r="A328" s="10">
        <v>327</v>
      </c>
      <c r="B328" s="13"/>
      <c r="C328" s="10" t="s">
        <v>10</v>
      </c>
      <c r="D328" s="10"/>
      <c r="E328" s="27">
        <v>1</v>
      </c>
      <c r="F328" s="10"/>
      <c r="G328" s="10"/>
      <c r="H328" s="27"/>
      <c r="I328" s="10" t="s">
        <v>207</v>
      </c>
      <c r="J328" s="10"/>
      <c r="K328" s="10"/>
      <c r="L328" s="10">
        <v>0.12</v>
      </c>
      <c r="M328" s="10" t="s">
        <v>8</v>
      </c>
      <c r="N328" s="10"/>
      <c r="O328" s="10"/>
      <c r="P328" s="10">
        <v>0.01</v>
      </c>
      <c r="Q328" s="10"/>
      <c r="R328" s="10"/>
      <c r="S328" s="10"/>
      <c r="T328" s="10"/>
      <c r="U328" s="10"/>
      <c r="V328" s="10"/>
      <c r="W328" s="10"/>
      <c r="X328" s="10"/>
      <c r="Y328" s="50">
        <v>113</v>
      </c>
      <c r="Z328" s="10">
        <v>192</v>
      </c>
      <c r="AA328" s="10" t="s">
        <v>17</v>
      </c>
      <c r="AB328" s="10">
        <v>1</v>
      </c>
      <c r="AC328" s="20">
        <v>0</v>
      </c>
      <c r="AD328" s="10" t="s">
        <v>43</v>
      </c>
      <c r="AE328" s="10" t="s">
        <v>211</v>
      </c>
      <c r="AF328" s="10" t="s">
        <v>95</v>
      </c>
      <c r="AG328" s="10">
        <v>3</v>
      </c>
      <c r="AH328" s="27">
        <v>0</v>
      </c>
      <c r="AI328" s="27">
        <f>8/3</f>
        <v>2.6666666666666665</v>
      </c>
      <c r="AJ328" s="27">
        <f>20/3</f>
        <v>6.666666666666667</v>
      </c>
      <c r="AK328" s="10">
        <v>1</v>
      </c>
      <c r="AL328" s="10">
        <v>673</v>
      </c>
      <c r="AM328" s="19"/>
      <c r="AN328" s="19"/>
      <c r="AO328" s="19">
        <v>0.31180000000000002</v>
      </c>
      <c r="AP328" s="19">
        <v>0.91739999999999999</v>
      </c>
      <c r="AQ328" s="19">
        <f>Table1[[#This Row],[Y_Acryl_Fa]]/Table1[[#This Row],[Ratio_Ac_Fa]]</f>
        <v>9.5348439999999993E-2</v>
      </c>
      <c r="AR328" s="19">
        <f>Table1[[#This Row],[X_Fa]]*Table1[[#This Row],[S_Acryl_Fa]]</f>
        <v>0.28604531999999999</v>
      </c>
      <c r="AS328" s="28">
        <f t="shared" si="42"/>
        <v>4.4416547792395225</v>
      </c>
      <c r="AT328" s="29"/>
      <c r="AU328" s="10" t="s">
        <v>62</v>
      </c>
      <c r="AV328" s="19"/>
      <c r="AW328" s="10" t="s">
        <v>174</v>
      </c>
      <c r="AX328" s="10">
        <v>2022</v>
      </c>
      <c r="AY328" s="10">
        <v>3</v>
      </c>
      <c r="AZ328" s="10"/>
      <c r="BA328" s="20">
        <v>0.77639004533259337</v>
      </c>
      <c r="BB328" s="20">
        <v>2.3291701359977797</v>
      </c>
      <c r="BC328" s="20">
        <f>BA328*60*AR328/AY328</f>
        <v>4.4416547792395233</v>
      </c>
      <c r="BD328" s="20">
        <f>BB328*60*AQ328/AY328</f>
        <v>4.4416547792395225</v>
      </c>
    </row>
    <row r="329" spans="1:56" s="18" customFormat="1" ht="18" customHeight="1">
      <c r="A329" s="10">
        <v>328</v>
      </c>
      <c r="B329" s="13">
        <v>1</v>
      </c>
      <c r="C329" s="21" t="s">
        <v>10</v>
      </c>
      <c r="D329" s="21">
        <f t="shared" ref="D329:D335" si="46">30/2</f>
        <v>15</v>
      </c>
      <c r="E329" s="27"/>
      <c r="F329" s="21" t="s">
        <v>12</v>
      </c>
      <c r="G329" s="21">
        <v>1</v>
      </c>
      <c r="H329" s="27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52"/>
      <c r="Z329" s="21">
        <v>300</v>
      </c>
      <c r="AA329" s="21" t="s">
        <v>4</v>
      </c>
      <c r="AB329" s="21">
        <v>1</v>
      </c>
      <c r="AC329" s="26">
        <v>0</v>
      </c>
      <c r="AD329" s="21" t="s">
        <v>44</v>
      </c>
      <c r="AE329" s="21" t="s">
        <v>175</v>
      </c>
      <c r="AF329" s="21" t="s">
        <v>95</v>
      </c>
      <c r="AG329" s="21">
        <v>0.5</v>
      </c>
      <c r="AH329" s="22">
        <v>0</v>
      </c>
      <c r="AI329" s="22"/>
      <c r="AJ329" s="22"/>
      <c r="AK329" s="21">
        <v>30</v>
      </c>
      <c r="AL329" s="21">
        <v>623</v>
      </c>
      <c r="AM329" s="23">
        <f>Table1[[#This Row],[Y_Acryl_Ac]]/Table1[[#This Row],[S_Acryl_Ac]]</f>
        <v>0.5685019206145967</v>
      </c>
      <c r="AN329" s="23">
        <v>0.78100000000000003</v>
      </c>
      <c r="AO329" s="23">
        <v>1</v>
      </c>
      <c r="AP329" s="23">
        <f>Table1[[#This Row],[Y_Acryl_Fa]]/Table1[[#This Row],[X_Fa]]</f>
        <v>0.222</v>
      </c>
      <c r="AQ329" s="23">
        <v>0.44400000000000001</v>
      </c>
      <c r="AR329" s="23">
        <f>Table1[[#This Row],[Y_Acryl_Ac]]*Table1[[#This Row],[Ratio_Ac_Fa]]</f>
        <v>0.222</v>
      </c>
      <c r="AS329" s="24"/>
      <c r="AT329" s="39">
        <v>1</v>
      </c>
      <c r="AU329" s="21" t="s">
        <v>5</v>
      </c>
      <c r="AV329" s="37" t="s">
        <v>176</v>
      </c>
      <c r="AW329" s="21" t="s">
        <v>173</v>
      </c>
      <c r="AX329" s="21">
        <v>2017</v>
      </c>
      <c r="AY329" s="21">
        <v>0.5</v>
      </c>
      <c r="AZ329" s="21"/>
      <c r="BA329" s="26"/>
      <c r="BB329" s="26"/>
      <c r="BC329" s="26"/>
      <c r="BD329" s="26"/>
    </row>
    <row r="330" spans="1:56" s="18" customFormat="1" ht="18" customHeight="1">
      <c r="A330" s="10">
        <v>329</v>
      </c>
      <c r="B330" s="13">
        <v>1</v>
      </c>
      <c r="C330" s="21" t="s">
        <v>10</v>
      </c>
      <c r="D330" s="21">
        <f t="shared" si="46"/>
        <v>15</v>
      </c>
      <c r="E330" s="27"/>
      <c r="F330" s="21" t="s">
        <v>12</v>
      </c>
      <c r="G330" s="21">
        <v>1</v>
      </c>
      <c r="H330" s="27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52"/>
      <c r="Z330" s="21">
        <v>300</v>
      </c>
      <c r="AA330" s="21" t="s">
        <v>4</v>
      </c>
      <c r="AB330" s="21">
        <v>1</v>
      </c>
      <c r="AC330" s="26">
        <v>0</v>
      </c>
      <c r="AD330" s="21" t="s">
        <v>44</v>
      </c>
      <c r="AE330" s="21" t="s">
        <v>175</v>
      </c>
      <c r="AF330" s="21" t="s">
        <v>95</v>
      </c>
      <c r="AG330" s="21">
        <v>2</v>
      </c>
      <c r="AH330" s="22">
        <v>0</v>
      </c>
      <c r="AI330" s="22"/>
      <c r="AJ330" s="22"/>
      <c r="AK330" s="21">
        <v>30</v>
      </c>
      <c r="AL330" s="21">
        <v>623</v>
      </c>
      <c r="AM330" s="23">
        <f>Table1[[#This Row],[Y_Acryl_Ac]]/Table1[[#This Row],[S_Acryl_Ac]]</f>
        <v>0.48011100832562448</v>
      </c>
      <c r="AN330" s="23">
        <v>0.54049999999999998</v>
      </c>
      <c r="AO330" s="23">
        <v>1</v>
      </c>
      <c r="AP330" s="23">
        <f>Table1[[#This Row],[Y_Acryl_Fa]]/Table1[[#This Row],[X_Fa]]</f>
        <v>0.51900000000000002</v>
      </c>
      <c r="AQ330" s="23">
        <v>0.25950000000000001</v>
      </c>
      <c r="AR330" s="23">
        <f>Table1[[#This Row],[Y_Acryl_Ac]]*Table1[[#This Row],[Ratio_Ac_Fa]]</f>
        <v>0.51900000000000002</v>
      </c>
      <c r="AS330" s="24"/>
      <c r="AT330" s="39"/>
      <c r="AU330" s="21" t="s">
        <v>5</v>
      </c>
      <c r="AV330" s="37"/>
      <c r="AW330" s="21" t="s">
        <v>173</v>
      </c>
      <c r="AX330" s="21">
        <v>2017</v>
      </c>
      <c r="AY330" s="21">
        <v>0.5</v>
      </c>
      <c r="AZ330" s="21"/>
      <c r="BA330" s="26"/>
      <c r="BB330" s="26"/>
      <c r="BC330" s="26"/>
      <c r="BD330" s="26"/>
    </row>
    <row r="331" spans="1:56" s="18" customFormat="1" ht="18" customHeight="1">
      <c r="A331" s="10">
        <v>330</v>
      </c>
      <c r="B331" s="13">
        <v>1</v>
      </c>
      <c r="C331" s="21" t="s">
        <v>10</v>
      </c>
      <c r="D331" s="21">
        <f t="shared" si="46"/>
        <v>15</v>
      </c>
      <c r="E331" s="27"/>
      <c r="F331" s="21" t="s">
        <v>12</v>
      </c>
      <c r="G331" s="21">
        <v>1</v>
      </c>
      <c r="H331" s="27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52"/>
      <c r="Z331" s="21">
        <v>300</v>
      </c>
      <c r="AA331" s="21" t="s">
        <v>4</v>
      </c>
      <c r="AB331" s="21">
        <v>1</v>
      </c>
      <c r="AC331" s="26">
        <v>0</v>
      </c>
      <c r="AD331" s="21" t="s">
        <v>44</v>
      </c>
      <c r="AE331" s="21" t="s">
        <v>175</v>
      </c>
      <c r="AF331" s="21" t="s">
        <v>95</v>
      </c>
      <c r="AG331" s="41">
        <v>0.5</v>
      </c>
      <c r="AH331" s="43">
        <v>0</v>
      </c>
      <c r="AI331" s="43"/>
      <c r="AJ331" s="43"/>
      <c r="AK331" s="41">
        <v>30</v>
      </c>
      <c r="AL331" s="41">
        <v>673</v>
      </c>
      <c r="AM331" s="23">
        <f>Table1[[#This Row],[Y_Acryl_Ac]]/Table1[[#This Row],[S_Acryl_Ac]]</f>
        <v>0.70881670533642693</v>
      </c>
      <c r="AN331" s="44">
        <v>0.86199999999999999</v>
      </c>
      <c r="AO331" s="44">
        <v>1</v>
      </c>
      <c r="AP331" s="23">
        <f>Table1[[#This Row],[Y_Acryl_Fa]]/Table1[[#This Row],[X_Fa]]</f>
        <v>0.30549999999999999</v>
      </c>
      <c r="AQ331" s="44">
        <v>0.61099999999999999</v>
      </c>
      <c r="AR331" s="23">
        <f>Table1[[#This Row],[Y_Acryl_Ac]]*Table1[[#This Row],[Ratio_Ac_Fa]]</f>
        <v>0.30549999999999999</v>
      </c>
      <c r="AS331" s="47"/>
      <c r="AT331" s="35"/>
      <c r="AU331" s="41" t="s">
        <v>5</v>
      </c>
      <c r="AV331" s="37"/>
      <c r="AW331" s="41" t="s">
        <v>173</v>
      </c>
      <c r="AX331" s="21">
        <v>2017</v>
      </c>
      <c r="AY331" s="21">
        <v>0.5</v>
      </c>
      <c r="AZ331" s="21"/>
      <c r="BA331" s="26"/>
      <c r="BB331" s="26"/>
      <c r="BC331" s="26"/>
      <c r="BD331" s="26"/>
    </row>
    <row r="332" spans="1:56" s="18" customFormat="1" ht="18" customHeight="1">
      <c r="A332" s="10">
        <v>331</v>
      </c>
      <c r="B332" s="13">
        <v>1</v>
      </c>
      <c r="C332" s="21" t="s">
        <v>10</v>
      </c>
      <c r="D332" s="21">
        <f t="shared" si="46"/>
        <v>15</v>
      </c>
      <c r="E332" s="27"/>
      <c r="F332" s="21" t="s">
        <v>12</v>
      </c>
      <c r="G332" s="21">
        <v>1</v>
      </c>
      <c r="H332" s="27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52"/>
      <c r="Z332" s="21"/>
      <c r="AA332" s="21" t="s">
        <v>4</v>
      </c>
      <c r="AB332" s="21">
        <v>1</v>
      </c>
      <c r="AC332" s="26">
        <v>0</v>
      </c>
      <c r="AD332" s="21" t="s">
        <v>44</v>
      </c>
      <c r="AE332" s="21" t="s">
        <v>175</v>
      </c>
      <c r="AF332" s="21" t="s">
        <v>95</v>
      </c>
      <c r="AG332" s="41">
        <v>0.5</v>
      </c>
      <c r="AH332" s="43">
        <v>0</v>
      </c>
      <c r="AI332" s="43"/>
      <c r="AJ332" s="43"/>
      <c r="AK332" s="41">
        <v>30</v>
      </c>
      <c r="AL332" s="21">
        <v>683</v>
      </c>
      <c r="AM332" s="23">
        <f>Table1[[#This Row],[Y_Acryl_Ac]]/Table1[[#This Row],[S_Acryl_Ac]]</f>
        <v>0.33333333333333331</v>
      </c>
      <c r="AN332" s="23">
        <v>0.627</v>
      </c>
      <c r="AO332" s="23"/>
      <c r="AP332" s="23"/>
      <c r="AQ332" s="23">
        <v>0.20899999999999999</v>
      </c>
      <c r="AR332" s="23">
        <f>Table1[[#This Row],[Y_Acryl_Ac]]*Table1[[#This Row],[Ratio_Ac_Fa]]</f>
        <v>0.1045</v>
      </c>
      <c r="AS332" s="24"/>
      <c r="AT332" s="35"/>
      <c r="AU332" s="41" t="s">
        <v>5</v>
      </c>
      <c r="AV332" s="37"/>
      <c r="AW332" s="41" t="s">
        <v>173</v>
      </c>
      <c r="AX332" s="21">
        <v>2017</v>
      </c>
      <c r="AY332" s="21">
        <v>0.5</v>
      </c>
      <c r="AZ332" s="21"/>
      <c r="BA332" s="26"/>
      <c r="BB332" s="26"/>
      <c r="BC332" s="26"/>
      <c r="BD332" s="26"/>
    </row>
    <row r="333" spans="1:56" s="25" customFormat="1" ht="18" customHeight="1">
      <c r="A333" s="10">
        <v>332</v>
      </c>
      <c r="B333" s="13">
        <v>1</v>
      </c>
      <c r="C333" s="21" t="s">
        <v>10</v>
      </c>
      <c r="D333" s="21">
        <f t="shared" si="46"/>
        <v>15</v>
      </c>
      <c r="E333" s="27"/>
      <c r="F333" s="21" t="s">
        <v>12</v>
      </c>
      <c r="G333" s="21">
        <v>1</v>
      </c>
      <c r="H333" s="27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>
        <v>400</v>
      </c>
      <c r="Z333" s="21"/>
      <c r="AA333" s="21" t="s">
        <v>4</v>
      </c>
      <c r="AB333" s="21">
        <v>1</v>
      </c>
      <c r="AC333" s="26">
        <v>0</v>
      </c>
      <c r="AD333" s="21" t="s">
        <v>44</v>
      </c>
      <c r="AE333" s="21" t="s">
        <v>175</v>
      </c>
      <c r="AF333" s="21" t="s">
        <v>95</v>
      </c>
      <c r="AG333" s="41">
        <v>0.5</v>
      </c>
      <c r="AH333" s="43">
        <v>0</v>
      </c>
      <c r="AI333" s="43"/>
      <c r="AJ333" s="43"/>
      <c r="AK333" s="41">
        <v>30</v>
      </c>
      <c r="AL333" s="21">
        <v>683</v>
      </c>
      <c r="AM333" s="23">
        <f>Table1[[#This Row],[Y_Acryl_Ac]]/Table1[[#This Row],[S_Acryl_Ac]]</f>
        <v>4.4041450777202076E-2</v>
      </c>
      <c r="AN333" s="23">
        <v>0.38600000000000001</v>
      </c>
      <c r="AO333" s="23"/>
      <c r="AP333" s="23"/>
      <c r="AQ333" s="23">
        <v>1.7000000000000001E-2</v>
      </c>
      <c r="AR333" s="23">
        <f>Table1[[#This Row],[Y_Acryl_Ac]]*Table1[[#This Row],[Ratio_Ac_Fa]]</f>
        <v>8.5000000000000006E-3</v>
      </c>
      <c r="AS333" s="24"/>
      <c r="AT333" s="35"/>
      <c r="AU333" s="41" t="s">
        <v>5</v>
      </c>
      <c r="AV333" s="37"/>
      <c r="AW333" s="41" t="s">
        <v>173</v>
      </c>
      <c r="AX333" s="21">
        <v>2017</v>
      </c>
      <c r="AY333" s="21">
        <v>0.5</v>
      </c>
      <c r="AZ333" s="21"/>
      <c r="BA333" s="26"/>
      <c r="BB333" s="26"/>
      <c r="BC333" s="26"/>
      <c r="BD333" s="26"/>
    </row>
    <row r="334" spans="1:56" s="25" customFormat="1" ht="18" customHeight="1">
      <c r="A334" s="10">
        <v>333</v>
      </c>
      <c r="B334" s="13">
        <v>1</v>
      </c>
      <c r="C334" s="21" t="s">
        <v>10</v>
      </c>
      <c r="D334" s="21">
        <f t="shared" si="46"/>
        <v>15</v>
      </c>
      <c r="E334" s="27"/>
      <c r="F334" s="21" t="s">
        <v>12</v>
      </c>
      <c r="G334" s="21">
        <v>1</v>
      </c>
      <c r="H334" s="27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52">
        <v>600</v>
      </c>
      <c r="Z334" s="21"/>
      <c r="AA334" s="21" t="s">
        <v>4</v>
      </c>
      <c r="AB334" s="21">
        <v>1</v>
      </c>
      <c r="AC334" s="26">
        <v>0</v>
      </c>
      <c r="AD334" s="21" t="s">
        <v>44</v>
      </c>
      <c r="AE334" s="21" t="s">
        <v>175</v>
      </c>
      <c r="AF334" s="21" t="s">
        <v>95</v>
      </c>
      <c r="AG334" s="41">
        <v>0.5</v>
      </c>
      <c r="AH334" s="43">
        <v>0</v>
      </c>
      <c r="AI334" s="43"/>
      <c r="AJ334" s="43"/>
      <c r="AK334" s="41">
        <v>30</v>
      </c>
      <c r="AL334" s="21">
        <v>683</v>
      </c>
      <c r="AM334" s="23">
        <f>Table1[[#This Row],[Y_Acryl_Ac]]/Table1[[#This Row],[S_Acryl_Ac]]</f>
        <v>0.33568904593639581</v>
      </c>
      <c r="AN334" s="23">
        <v>0.28299999999999997</v>
      </c>
      <c r="AO334" s="23"/>
      <c r="AP334" s="23"/>
      <c r="AQ334" s="23">
        <v>9.5000000000000001E-2</v>
      </c>
      <c r="AR334" s="23">
        <f>Table1[[#This Row],[Y_Acryl_Ac]]*Table1[[#This Row],[Ratio_Ac_Fa]]</f>
        <v>4.7500000000000001E-2</v>
      </c>
      <c r="AS334" s="24"/>
      <c r="AT334" s="35"/>
      <c r="AU334" s="41" t="s">
        <v>5</v>
      </c>
      <c r="AV334" s="37"/>
      <c r="AW334" s="41" t="s">
        <v>173</v>
      </c>
      <c r="AX334" s="21">
        <v>2017</v>
      </c>
      <c r="AY334" s="21">
        <v>0.5</v>
      </c>
      <c r="AZ334" s="21"/>
      <c r="BA334" s="26"/>
      <c r="BB334" s="26"/>
      <c r="BC334" s="26"/>
      <c r="BD334" s="26"/>
    </row>
    <row r="335" spans="1:56" s="25" customFormat="1" ht="18" customHeight="1">
      <c r="A335" s="10">
        <v>334</v>
      </c>
      <c r="B335" s="13">
        <v>1</v>
      </c>
      <c r="C335" s="21" t="s">
        <v>10</v>
      </c>
      <c r="D335" s="21">
        <f t="shared" si="46"/>
        <v>15</v>
      </c>
      <c r="E335" s="27"/>
      <c r="F335" s="21" t="s">
        <v>12</v>
      </c>
      <c r="G335" s="21">
        <v>1</v>
      </c>
      <c r="H335" s="27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52">
        <v>600</v>
      </c>
      <c r="Z335" s="21"/>
      <c r="AA335" s="21" t="s">
        <v>4</v>
      </c>
      <c r="AB335" s="21">
        <v>1</v>
      </c>
      <c r="AC335" s="26">
        <v>0</v>
      </c>
      <c r="AD335" s="21" t="s">
        <v>44</v>
      </c>
      <c r="AE335" s="21" t="s">
        <v>175</v>
      </c>
      <c r="AF335" s="21" t="s">
        <v>95</v>
      </c>
      <c r="AG335" s="41">
        <v>0.5</v>
      </c>
      <c r="AH335" s="43">
        <v>0</v>
      </c>
      <c r="AI335" s="43"/>
      <c r="AJ335" s="43"/>
      <c r="AK335" s="41">
        <v>30</v>
      </c>
      <c r="AL335" s="21">
        <v>653</v>
      </c>
      <c r="AM335" s="23">
        <f>Table1[[#This Row],[Y_Acryl_Ac]]/Table1[[#This Row],[S_Acryl_Ac]]</f>
        <v>0.26446280991735538</v>
      </c>
      <c r="AN335" s="23">
        <v>0.121</v>
      </c>
      <c r="AO335" s="23"/>
      <c r="AP335" s="23"/>
      <c r="AQ335" s="23">
        <v>3.2000000000000001E-2</v>
      </c>
      <c r="AR335" s="23">
        <f>Table1[[#This Row],[Y_Acryl_Ac]]*Table1[[#This Row],[Ratio_Ac_Fa]]</f>
        <v>1.6E-2</v>
      </c>
      <c r="AS335" s="24"/>
      <c r="AT335" s="35"/>
      <c r="AU335" s="41" t="s">
        <v>5</v>
      </c>
      <c r="AV335" s="37"/>
      <c r="AW335" s="41" t="s">
        <v>173</v>
      </c>
      <c r="AX335" s="21">
        <v>2017</v>
      </c>
      <c r="AY335" s="21">
        <v>0.5</v>
      </c>
      <c r="AZ335" s="21"/>
      <c r="BA335" s="26"/>
      <c r="BB335" s="26"/>
      <c r="BC335" s="26"/>
      <c r="BD335" s="26"/>
    </row>
    <row r="336" spans="1:56" s="25" customFormat="1" ht="18" customHeight="1">
      <c r="A336" s="10">
        <v>335</v>
      </c>
      <c r="B336" s="13">
        <v>1</v>
      </c>
      <c r="C336" s="21" t="s">
        <v>10</v>
      </c>
      <c r="D336" s="21">
        <f>78/2</f>
        <v>39</v>
      </c>
      <c r="E336" s="27"/>
      <c r="F336" s="21" t="s">
        <v>12</v>
      </c>
      <c r="G336" s="21">
        <v>1</v>
      </c>
      <c r="H336" s="27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52">
        <v>262</v>
      </c>
      <c r="Z336" s="52"/>
      <c r="AA336" s="21" t="s">
        <v>4</v>
      </c>
      <c r="AB336" s="21">
        <v>1</v>
      </c>
      <c r="AC336" s="26">
        <v>0</v>
      </c>
      <c r="AD336" s="21" t="s">
        <v>44</v>
      </c>
      <c r="AE336" s="21" t="s">
        <v>175</v>
      </c>
      <c r="AF336" s="21" t="s">
        <v>95</v>
      </c>
      <c r="AG336" s="21">
        <v>0.5</v>
      </c>
      <c r="AH336" s="22">
        <v>0</v>
      </c>
      <c r="AI336" s="22"/>
      <c r="AJ336" s="22"/>
      <c r="AK336" s="21">
        <v>30</v>
      </c>
      <c r="AL336" s="21">
        <v>623</v>
      </c>
      <c r="AM336" s="23">
        <v>0.51619999999999999</v>
      </c>
      <c r="AN336" s="23">
        <f>Table1[[#This Row],[Y_Acryl_Ac]]/Table1[[#This Row],[X_Ac]]</f>
        <v>0.53351414180550172</v>
      </c>
      <c r="AO336" s="23">
        <v>1</v>
      </c>
      <c r="AP336" s="23">
        <f>Table1[[#This Row],[Y_Acryl_Fa]]/Table1[[#This Row],[X_Fa]]</f>
        <v>0.13769999999999999</v>
      </c>
      <c r="AQ336" s="23">
        <v>0.27539999999999998</v>
      </c>
      <c r="AR336" s="23">
        <f>Table1[[#This Row],[Y_Acryl_Ac]]*Table1[[#This Row],[Ratio_Ac_Fa]]</f>
        <v>0.13769999999999999</v>
      </c>
      <c r="AS336" s="24"/>
      <c r="AT336" s="39"/>
      <c r="AU336" s="21" t="s">
        <v>1</v>
      </c>
      <c r="AV336" s="37" t="s">
        <v>90</v>
      </c>
      <c r="AW336" s="21" t="s">
        <v>173</v>
      </c>
      <c r="AX336" s="21">
        <v>2018</v>
      </c>
      <c r="AY336" s="21">
        <v>0.5</v>
      </c>
      <c r="AZ336" s="21"/>
      <c r="BA336" s="26"/>
      <c r="BB336" s="26"/>
      <c r="BC336" s="26"/>
      <c r="BD336" s="26"/>
    </row>
    <row r="337" spans="1:56" s="25" customFormat="1" ht="18" customHeight="1">
      <c r="A337" s="10">
        <v>336</v>
      </c>
      <c r="B337" s="13"/>
      <c r="C337" s="21" t="s">
        <v>10</v>
      </c>
      <c r="D337" s="21">
        <f>78/2</f>
        <v>39</v>
      </c>
      <c r="E337" s="27"/>
      <c r="F337" s="21" t="s">
        <v>12</v>
      </c>
      <c r="G337" s="21">
        <v>1</v>
      </c>
      <c r="H337" s="27"/>
      <c r="I337" s="21" t="s">
        <v>0</v>
      </c>
      <c r="J337" s="21"/>
      <c r="K337" s="21">
        <v>0.01</v>
      </c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52">
        <v>258</v>
      </c>
      <c r="Z337" s="52">
        <v>262</v>
      </c>
      <c r="AA337" s="21" t="s">
        <v>3</v>
      </c>
      <c r="AB337" s="21">
        <v>1</v>
      </c>
      <c r="AC337" s="26">
        <v>0</v>
      </c>
      <c r="AD337" s="21" t="s">
        <v>44</v>
      </c>
      <c r="AE337" s="21" t="s">
        <v>175</v>
      </c>
      <c r="AF337" s="21" t="s">
        <v>95</v>
      </c>
      <c r="AG337" s="21">
        <v>0.5</v>
      </c>
      <c r="AH337" s="22">
        <v>0</v>
      </c>
      <c r="AI337" s="22"/>
      <c r="AJ337" s="22"/>
      <c r="AK337" s="21">
        <v>30</v>
      </c>
      <c r="AL337" s="21">
        <v>623</v>
      </c>
      <c r="AM337" s="23">
        <v>0.59209999999999996</v>
      </c>
      <c r="AN337" s="23">
        <f>Table1[[#This Row],[Y_Acryl_Ac]]/Table1[[#This Row],[X_Ac]]</f>
        <v>0.41614592129707823</v>
      </c>
      <c r="AO337" s="23">
        <v>1</v>
      </c>
      <c r="AP337" s="23">
        <f>Table1[[#This Row],[Y_Acryl_Fa]]/Table1[[#This Row],[X_Fa]]</f>
        <v>0.1232</v>
      </c>
      <c r="AQ337" s="23">
        <v>0.24640000000000001</v>
      </c>
      <c r="AR337" s="23">
        <f>Table1[[#This Row],[Y_Acryl_Ac]]*Table1[[#This Row],[Ratio_Ac_Fa]]</f>
        <v>0.1232</v>
      </c>
      <c r="AS337" s="24"/>
      <c r="AT337" s="39"/>
      <c r="AU337" s="21" t="s">
        <v>1</v>
      </c>
      <c r="AV337" s="37"/>
      <c r="AW337" s="21" t="s">
        <v>173</v>
      </c>
      <c r="AX337" s="21">
        <v>2018</v>
      </c>
      <c r="AY337" s="21">
        <v>0.5</v>
      </c>
      <c r="AZ337" s="21"/>
      <c r="BA337" s="26"/>
      <c r="BB337" s="26"/>
      <c r="BC337" s="26"/>
      <c r="BD337" s="26"/>
    </row>
    <row r="338" spans="1:56" s="25" customFormat="1">
      <c r="A338" s="10">
        <v>337</v>
      </c>
      <c r="B338" s="13">
        <v>1</v>
      </c>
      <c r="C338" s="21" t="s">
        <v>12</v>
      </c>
      <c r="D338" s="21"/>
      <c r="E338" s="27">
        <v>1</v>
      </c>
      <c r="F338" s="21"/>
      <c r="G338" s="21"/>
      <c r="H338" s="27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52">
        <v>250</v>
      </c>
      <c r="Z338" s="21"/>
      <c r="AA338" s="21" t="s">
        <v>4</v>
      </c>
      <c r="AB338" s="21">
        <v>1</v>
      </c>
      <c r="AC338" s="26">
        <v>0</v>
      </c>
      <c r="AD338" s="21" t="s">
        <v>44</v>
      </c>
      <c r="AE338" s="21" t="s">
        <v>175</v>
      </c>
      <c r="AF338" s="21" t="s">
        <v>95</v>
      </c>
      <c r="AG338" s="21">
        <v>0.5</v>
      </c>
      <c r="AH338" s="22">
        <v>0</v>
      </c>
      <c r="AI338" s="22"/>
      <c r="AJ338" s="22"/>
      <c r="AK338" s="21">
        <v>30</v>
      </c>
      <c r="AL338" s="21">
        <v>623</v>
      </c>
      <c r="AM338" s="23">
        <v>0.50519999999999998</v>
      </c>
      <c r="AN338" s="23">
        <f>Table1[[#This Row],[Y_Acryl_Ac]]/Table1[[#This Row],[X_Ac]]</f>
        <v>0.30126682501979418</v>
      </c>
      <c r="AO338" s="23">
        <v>1</v>
      </c>
      <c r="AP338" s="23">
        <f>Table1[[#This Row],[Y_Acryl_Fa]]/Table1[[#This Row],[X_Fa]]</f>
        <v>7.6100000000000001E-2</v>
      </c>
      <c r="AQ338" s="23">
        <v>0.1522</v>
      </c>
      <c r="AR338" s="23">
        <f>Table1[[#This Row],[Y_Acryl_Ac]]*Table1[[#This Row],[Ratio_Ac_Fa]]</f>
        <v>7.6100000000000001E-2</v>
      </c>
      <c r="AS338" s="24"/>
      <c r="AT338" s="39"/>
      <c r="AU338" s="21" t="s">
        <v>1</v>
      </c>
      <c r="AV338" s="37"/>
      <c r="AW338" s="21" t="s">
        <v>173</v>
      </c>
      <c r="AX338" s="21">
        <v>2018</v>
      </c>
      <c r="AY338" s="21">
        <v>0.5</v>
      </c>
      <c r="AZ338" s="21"/>
      <c r="BA338" s="26"/>
      <c r="BB338" s="26"/>
      <c r="BC338" s="26"/>
      <c r="BD338" s="26"/>
    </row>
    <row r="339" spans="1:56" s="25" customFormat="1" ht="18" customHeight="1">
      <c r="A339" s="10">
        <v>338</v>
      </c>
      <c r="B339" s="13">
        <v>1</v>
      </c>
      <c r="C339" s="21" t="s">
        <v>10</v>
      </c>
      <c r="D339" s="21">
        <f>78/2</f>
        <v>39</v>
      </c>
      <c r="E339" s="27"/>
      <c r="F339" s="21" t="s">
        <v>12</v>
      </c>
      <c r="G339" s="21">
        <v>1</v>
      </c>
      <c r="H339" s="27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52">
        <v>262</v>
      </c>
      <c r="Z339" s="52"/>
      <c r="AA339" s="21" t="s">
        <v>87</v>
      </c>
      <c r="AB339" s="21">
        <v>1</v>
      </c>
      <c r="AC339" s="26">
        <v>0</v>
      </c>
      <c r="AD339" s="21" t="s">
        <v>44</v>
      </c>
      <c r="AE339" s="21" t="s">
        <v>175</v>
      </c>
      <c r="AF339" s="21" t="s">
        <v>95</v>
      </c>
      <c r="AG339" s="21">
        <v>0.5</v>
      </c>
      <c r="AH339" s="22">
        <v>0</v>
      </c>
      <c r="AI339" s="22"/>
      <c r="AJ339" s="22"/>
      <c r="AK339" s="21">
        <v>30</v>
      </c>
      <c r="AL339" s="21">
        <v>623</v>
      </c>
      <c r="AM339" s="23">
        <f>Table1[[#This Row],[Y_Acryl_Ac]]/Table1[[#This Row],[S_Acryl_Ac]]</f>
        <v>0.3289473684210526</v>
      </c>
      <c r="AN339" s="23">
        <v>0.72960000000000003</v>
      </c>
      <c r="AO339" s="23">
        <v>1</v>
      </c>
      <c r="AP339" s="23">
        <f>Table1[[#This Row],[Y_Acryl_Fa]]/Table1[[#This Row],[X_Fa]]</f>
        <v>0.12</v>
      </c>
      <c r="AQ339" s="23">
        <v>0.24</v>
      </c>
      <c r="AR339" s="23">
        <f>Table1[[#This Row],[Y_Acryl_Ac]]*Table1[[#This Row],[Ratio_Ac_Fa]]</f>
        <v>0.12</v>
      </c>
      <c r="AS339" s="24"/>
      <c r="AT339" s="39"/>
      <c r="AU339" s="21" t="s">
        <v>85</v>
      </c>
      <c r="AV339" s="37"/>
      <c r="AW339" s="21" t="s">
        <v>173</v>
      </c>
      <c r="AX339" s="21">
        <v>2018</v>
      </c>
      <c r="AY339" s="21">
        <v>0.5</v>
      </c>
      <c r="AZ339" s="21"/>
      <c r="BA339" s="26"/>
      <c r="BB339" s="26"/>
      <c r="BC339" s="26"/>
      <c r="BD339" s="26"/>
    </row>
    <row r="340" spans="1:56" s="25" customFormat="1" ht="18" customHeight="1">
      <c r="A340" s="10">
        <v>339</v>
      </c>
      <c r="B340" s="13"/>
      <c r="C340" s="21" t="s">
        <v>10</v>
      </c>
      <c r="D340" s="21">
        <f>78/2</f>
        <v>39</v>
      </c>
      <c r="E340" s="27"/>
      <c r="F340" s="21" t="s">
        <v>12</v>
      </c>
      <c r="G340" s="21">
        <v>1</v>
      </c>
      <c r="H340" s="27"/>
      <c r="I340" s="21" t="s">
        <v>86</v>
      </c>
      <c r="J340" s="21"/>
      <c r="K340" s="21"/>
      <c r="L340" s="21">
        <v>0.01</v>
      </c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52">
        <v>262</v>
      </c>
      <c r="Z340" s="52"/>
      <c r="AA340" s="21" t="s">
        <v>88</v>
      </c>
      <c r="AB340" s="21">
        <v>1</v>
      </c>
      <c r="AC340" s="26">
        <v>0</v>
      </c>
      <c r="AD340" s="21" t="s">
        <v>44</v>
      </c>
      <c r="AE340" s="21" t="s">
        <v>175</v>
      </c>
      <c r="AF340" s="21" t="s">
        <v>95</v>
      </c>
      <c r="AG340" s="21">
        <v>0.5</v>
      </c>
      <c r="AH340" s="22">
        <v>0</v>
      </c>
      <c r="AI340" s="22"/>
      <c r="AJ340" s="22"/>
      <c r="AK340" s="21">
        <v>30</v>
      </c>
      <c r="AL340" s="21">
        <v>623</v>
      </c>
      <c r="AM340" s="23">
        <f>Table1[[#This Row],[Y_Acryl_Ac]]/Table1[[#This Row],[S_Acryl_Ac]]</f>
        <v>0.36187345932621201</v>
      </c>
      <c r="AN340" s="23">
        <v>0.60850000000000004</v>
      </c>
      <c r="AO340" s="23">
        <v>1</v>
      </c>
      <c r="AP340" s="23">
        <f>Table1[[#This Row],[Y_Acryl_Fa]]/Table1[[#This Row],[X_Fa]]</f>
        <v>0.1101</v>
      </c>
      <c r="AQ340" s="23">
        <v>0.22020000000000001</v>
      </c>
      <c r="AR340" s="23">
        <f>Table1[[#This Row],[Y_Acryl_Ac]]*Table1[[#This Row],[Ratio_Ac_Fa]]</f>
        <v>0.1101</v>
      </c>
      <c r="AS340" s="24"/>
      <c r="AT340" s="39"/>
      <c r="AU340" s="21" t="s">
        <v>85</v>
      </c>
      <c r="AV340" s="37"/>
      <c r="AW340" s="21" t="s">
        <v>173</v>
      </c>
      <c r="AX340" s="21">
        <v>2018</v>
      </c>
      <c r="AY340" s="21">
        <v>0.5</v>
      </c>
      <c r="AZ340" s="21"/>
      <c r="BA340" s="26"/>
      <c r="BB340" s="26"/>
      <c r="BC340" s="26"/>
      <c r="BD340" s="26"/>
    </row>
    <row r="341" spans="1:56" s="25" customFormat="1" ht="18" customHeight="1">
      <c r="A341" s="10">
        <v>340</v>
      </c>
      <c r="B341" s="13"/>
      <c r="C341" s="21" t="s">
        <v>10</v>
      </c>
      <c r="D341" s="21">
        <f>78/2</f>
        <v>39</v>
      </c>
      <c r="E341" s="27"/>
      <c r="F341" s="21" t="s">
        <v>12</v>
      </c>
      <c r="G341" s="21">
        <v>1</v>
      </c>
      <c r="H341" s="27"/>
      <c r="I341" s="21" t="s">
        <v>86</v>
      </c>
      <c r="J341" s="41"/>
      <c r="K341" s="41"/>
      <c r="L341" s="41">
        <v>0.05</v>
      </c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53">
        <v>262</v>
      </c>
      <c r="Z341" s="53"/>
      <c r="AA341" s="41" t="s">
        <v>89</v>
      </c>
      <c r="AB341" s="21">
        <v>1</v>
      </c>
      <c r="AC341" s="42">
        <v>0</v>
      </c>
      <c r="AD341" s="41" t="s">
        <v>44</v>
      </c>
      <c r="AE341" s="41" t="s">
        <v>175</v>
      </c>
      <c r="AF341" s="21" t="s">
        <v>95</v>
      </c>
      <c r="AG341" s="41">
        <v>0.5</v>
      </c>
      <c r="AH341" s="43">
        <v>0</v>
      </c>
      <c r="AI341" s="43"/>
      <c r="AJ341" s="43"/>
      <c r="AK341" s="41">
        <v>30</v>
      </c>
      <c r="AL341" s="41">
        <v>623</v>
      </c>
      <c r="AM341" s="44">
        <f>Table1[[#This Row],[Y_Acryl_Ac]]/Table1[[#This Row],[S_Acryl_Ac]]</f>
        <v>0.36639012155122519</v>
      </c>
      <c r="AN341" s="44">
        <v>0.51829999999999998</v>
      </c>
      <c r="AO341" s="44">
        <v>1</v>
      </c>
      <c r="AP341" s="44">
        <f>Table1[[#This Row],[Y_Acryl_Fa]]/Table1[[#This Row],[X_Fa]]</f>
        <v>9.4950000000000007E-2</v>
      </c>
      <c r="AQ341" s="44">
        <v>0.18990000000000001</v>
      </c>
      <c r="AR341" s="23">
        <f>Table1[[#This Row],[Y_Acryl_Ac]]*Table1[[#This Row],[Ratio_Ac_Fa]]</f>
        <v>9.4950000000000007E-2</v>
      </c>
      <c r="AS341" s="47"/>
      <c r="AT341" s="35"/>
      <c r="AU341" s="41" t="s">
        <v>85</v>
      </c>
      <c r="AV341" s="48"/>
      <c r="AW341" s="41" t="s">
        <v>173</v>
      </c>
      <c r="AX341" s="21">
        <v>2018</v>
      </c>
      <c r="AY341" s="21">
        <v>0.5</v>
      </c>
      <c r="AZ341" s="21"/>
      <c r="BA341" s="26"/>
      <c r="BB341" s="26"/>
      <c r="BC341" s="26"/>
      <c r="BD341" s="26"/>
    </row>
    <row r="342" spans="1:56" s="18" customFormat="1" ht="18" customHeight="1">
      <c r="A342" s="10">
        <v>341</v>
      </c>
      <c r="B342" s="13"/>
      <c r="C342" s="10" t="s">
        <v>10</v>
      </c>
      <c r="D342" s="10">
        <v>1</v>
      </c>
      <c r="E342" s="27"/>
      <c r="F342" s="10" t="s">
        <v>12</v>
      </c>
      <c r="G342" s="10">
        <v>1</v>
      </c>
      <c r="H342" s="27"/>
      <c r="I342" s="10" t="s">
        <v>86</v>
      </c>
      <c r="J342" s="10"/>
      <c r="K342" s="10"/>
      <c r="L342" s="10">
        <v>0.05</v>
      </c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50"/>
      <c r="Z342" s="10"/>
      <c r="AA342" s="10" t="s">
        <v>181</v>
      </c>
      <c r="AB342" s="10">
        <v>0</v>
      </c>
      <c r="AC342" s="20">
        <v>0</v>
      </c>
      <c r="AD342" s="10" t="s">
        <v>43</v>
      </c>
      <c r="AE342" s="10" t="s">
        <v>210</v>
      </c>
      <c r="AF342" s="10" t="s">
        <v>95</v>
      </c>
      <c r="AG342" s="10">
        <v>10</v>
      </c>
      <c r="AH342" s="27">
        <v>0</v>
      </c>
      <c r="AI342" s="27"/>
      <c r="AJ342" s="27">
        <v>0</v>
      </c>
      <c r="AK342" s="10">
        <v>1</v>
      </c>
      <c r="AL342" s="10">
        <v>658</v>
      </c>
      <c r="AM342" s="19"/>
      <c r="AN342" s="19"/>
      <c r="AO342" s="19">
        <f>Table1[[#This Row],[Y_Acryl_Fa]]/Table1[[#This Row],[S_Acryl_Fa]]</f>
        <v>0.41304347826086957</v>
      </c>
      <c r="AP342" s="19">
        <v>0.92</v>
      </c>
      <c r="AQ342" s="19">
        <f>Table1[[#This Row],[Y_Acryl_Fa]]/Table1[[#This Row],[Ratio_Ac_Fa]]</f>
        <v>3.7999999999999999E-2</v>
      </c>
      <c r="AR342" s="19">
        <v>0.38</v>
      </c>
      <c r="AS342" s="28"/>
      <c r="AT342" s="16"/>
      <c r="AU342" s="10" t="s">
        <v>177</v>
      </c>
      <c r="AV342" s="30"/>
      <c r="AW342" s="10" t="s">
        <v>178</v>
      </c>
      <c r="AX342" s="10">
        <v>1966</v>
      </c>
      <c r="AY342" s="10"/>
      <c r="AZ342" s="10"/>
      <c r="BA342" s="20"/>
      <c r="BB342" s="20"/>
      <c r="BC342" s="20"/>
      <c r="BD342" s="20"/>
    </row>
    <row r="343" spans="1:56" s="18" customFormat="1" ht="18" customHeight="1">
      <c r="A343" s="10">
        <v>342</v>
      </c>
      <c r="B343" s="13"/>
      <c r="C343" s="10" t="s">
        <v>10</v>
      </c>
      <c r="D343" s="10">
        <v>1</v>
      </c>
      <c r="E343" s="27"/>
      <c r="F343" s="10" t="s">
        <v>12</v>
      </c>
      <c r="G343" s="10">
        <v>1</v>
      </c>
      <c r="H343" s="27"/>
      <c r="I343" s="10" t="s">
        <v>115</v>
      </c>
      <c r="J343" s="10"/>
      <c r="K343" s="10"/>
      <c r="L343" s="10">
        <v>0.05</v>
      </c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50"/>
      <c r="Z343" s="10"/>
      <c r="AA343" s="10" t="s">
        <v>181</v>
      </c>
      <c r="AB343" s="10">
        <v>0</v>
      </c>
      <c r="AC343" s="40">
        <v>0</v>
      </c>
      <c r="AD343" s="10" t="s">
        <v>43</v>
      </c>
      <c r="AE343" s="10" t="s">
        <v>210</v>
      </c>
      <c r="AF343" s="10" t="s">
        <v>95</v>
      </c>
      <c r="AG343" s="10">
        <v>10</v>
      </c>
      <c r="AH343" s="13">
        <v>0</v>
      </c>
      <c r="AI343" s="27"/>
      <c r="AJ343" s="27">
        <v>0</v>
      </c>
      <c r="AK343" s="10">
        <v>1</v>
      </c>
      <c r="AL343" s="10">
        <v>658</v>
      </c>
      <c r="AM343" s="19"/>
      <c r="AN343" s="19"/>
      <c r="AO343" s="19">
        <f>Table1[[#This Row],[Y_Acryl_Fa]]/Table1[[#This Row],[S_Acryl_Fa]]</f>
        <v>0.49397590361445781</v>
      </c>
      <c r="AP343" s="19">
        <v>0.83</v>
      </c>
      <c r="AQ343" s="19">
        <f>Table1[[#This Row],[Y_Acryl_Fa]]/Table1[[#This Row],[Ratio_Ac_Fa]]</f>
        <v>4.0999999999999995E-2</v>
      </c>
      <c r="AR343" s="19">
        <v>0.41</v>
      </c>
      <c r="AS343" s="28"/>
      <c r="AT343" s="16"/>
      <c r="AU343" s="10" t="s">
        <v>177</v>
      </c>
      <c r="AV343" s="30"/>
      <c r="AW343" s="10" t="s">
        <v>178</v>
      </c>
      <c r="AX343" s="10">
        <v>1966</v>
      </c>
      <c r="AY343" s="10"/>
      <c r="AZ343" s="10"/>
      <c r="BA343" s="20"/>
      <c r="BB343" s="20"/>
      <c r="BC343" s="20"/>
      <c r="BD343" s="20"/>
    </row>
    <row r="344" spans="1:56" s="38" customFormat="1" ht="18" customHeight="1">
      <c r="A344" s="10">
        <v>343</v>
      </c>
      <c r="B344" s="13"/>
      <c r="C344" s="10" t="s">
        <v>10</v>
      </c>
      <c r="D344" s="10">
        <v>1</v>
      </c>
      <c r="E344" s="27"/>
      <c r="F344" s="10" t="s">
        <v>12</v>
      </c>
      <c r="G344" s="10">
        <v>1</v>
      </c>
      <c r="H344" s="27"/>
      <c r="I344" s="10" t="s">
        <v>45</v>
      </c>
      <c r="J344" s="10"/>
      <c r="K344" s="10"/>
      <c r="L344" s="10">
        <v>0.05</v>
      </c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50"/>
      <c r="Z344" s="10"/>
      <c r="AA344" s="10" t="s">
        <v>181</v>
      </c>
      <c r="AB344" s="10">
        <v>0</v>
      </c>
      <c r="AC344" s="20">
        <v>0</v>
      </c>
      <c r="AD344" s="10" t="s">
        <v>43</v>
      </c>
      <c r="AE344" s="10" t="s">
        <v>210</v>
      </c>
      <c r="AF344" s="10" t="s">
        <v>95</v>
      </c>
      <c r="AG344" s="10">
        <v>10</v>
      </c>
      <c r="AH344" s="27">
        <v>0</v>
      </c>
      <c r="AI344" s="27"/>
      <c r="AJ344" s="27">
        <v>0</v>
      </c>
      <c r="AK344" s="10">
        <v>1</v>
      </c>
      <c r="AL344" s="10">
        <v>658</v>
      </c>
      <c r="AM344" s="19"/>
      <c r="AN344" s="19"/>
      <c r="AO344" s="19">
        <f>Table1[[#This Row],[Y_Acryl_Fa]]/Table1[[#This Row],[S_Acryl_Fa]]</f>
        <v>0.5423728813559322</v>
      </c>
      <c r="AP344" s="19">
        <v>0.59</v>
      </c>
      <c r="AQ344" s="19">
        <f>Table1[[#This Row],[Y_Acryl_Fa]]/Table1[[#This Row],[Ratio_Ac_Fa]]</f>
        <v>3.2000000000000001E-2</v>
      </c>
      <c r="AR344" s="19">
        <v>0.32</v>
      </c>
      <c r="AS344" s="28"/>
      <c r="AT344" s="16"/>
      <c r="AU344" s="10" t="s">
        <v>177</v>
      </c>
      <c r="AV344" s="30"/>
      <c r="AW344" s="10" t="s">
        <v>178</v>
      </c>
      <c r="AX344" s="10">
        <v>1966</v>
      </c>
      <c r="AY344" s="10"/>
      <c r="AZ344" s="10"/>
      <c r="BA344" s="20"/>
      <c r="BB344" s="20"/>
      <c r="BC344" s="20"/>
      <c r="BD344" s="20"/>
    </row>
    <row r="345" spans="1:56" s="18" customFormat="1" ht="18" customHeight="1">
      <c r="A345" s="10">
        <v>344</v>
      </c>
      <c r="B345" s="13"/>
      <c r="C345" s="10" t="s">
        <v>10</v>
      </c>
      <c r="D345" s="10">
        <v>1</v>
      </c>
      <c r="E345" s="27"/>
      <c r="F345" s="10" t="s">
        <v>12</v>
      </c>
      <c r="G345" s="10">
        <v>1</v>
      </c>
      <c r="H345" s="27"/>
      <c r="I345" s="10" t="s">
        <v>80</v>
      </c>
      <c r="J345" s="10"/>
      <c r="K345" s="10"/>
      <c r="L345" s="10">
        <v>0.05</v>
      </c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50"/>
      <c r="Z345" s="10"/>
      <c r="AA345" s="10" t="s">
        <v>181</v>
      </c>
      <c r="AB345" s="10">
        <v>0</v>
      </c>
      <c r="AC345" s="40">
        <v>0</v>
      </c>
      <c r="AD345" s="10" t="s">
        <v>43</v>
      </c>
      <c r="AE345" s="10" t="s">
        <v>210</v>
      </c>
      <c r="AF345" s="10" t="s">
        <v>95</v>
      </c>
      <c r="AG345" s="10">
        <v>10</v>
      </c>
      <c r="AH345" s="13">
        <v>0</v>
      </c>
      <c r="AI345" s="27"/>
      <c r="AJ345" s="27">
        <v>0</v>
      </c>
      <c r="AK345" s="10">
        <v>1</v>
      </c>
      <c r="AL345" s="10">
        <v>658</v>
      </c>
      <c r="AM345" s="19"/>
      <c r="AN345" s="19"/>
      <c r="AO345" s="19">
        <f>Table1[[#This Row],[Y_Acryl_Fa]]/Table1[[#This Row],[S_Acryl_Fa]]</f>
        <v>0.54761904761904767</v>
      </c>
      <c r="AP345" s="19">
        <v>0.84</v>
      </c>
      <c r="AQ345" s="19">
        <f>Table1[[#This Row],[Y_Acryl_Fa]]/Table1[[#This Row],[Ratio_Ac_Fa]]</f>
        <v>4.5999999999999999E-2</v>
      </c>
      <c r="AR345" s="19">
        <v>0.46</v>
      </c>
      <c r="AS345" s="28"/>
      <c r="AT345" s="16"/>
      <c r="AU345" s="10" t="s">
        <v>177</v>
      </c>
      <c r="AV345" s="30"/>
      <c r="AW345" s="10" t="s">
        <v>178</v>
      </c>
      <c r="AX345" s="10">
        <v>1966</v>
      </c>
      <c r="AY345" s="10"/>
      <c r="AZ345" s="10"/>
      <c r="BA345" s="20"/>
      <c r="BB345" s="20"/>
      <c r="BC345" s="20"/>
      <c r="BD345" s="20"/>
    </row>
    <row r="346" spans="1:56" s="18" customFormat="1" ht="18" customHeight="1">
      <c r="A346" s="10">
        <v>345</v>
      </c>
      <c r="B346" s="13"/>
      <c r="C346" s="10" t="s">
        <v>10</v>
      </c>
      <c r="D346" s="10">
        <v>1</v>
      </c>
      <c r="E346" s="27"/>
      <c r="F346" s="10" t="s">
        <v>12</v>
      </c>
      <c r="G346" s="10">
        <v>1</v>
      </c>
      <c r="H346" s="27"/>
      <c r="I346" s="10" t="s">
        <v>81</v>
      </c>
      <c r="J346" s="10"/>
      <c r="K346" s="10"/>
      <c r="L346" s="10">
        <v>0.05</v>
      </c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50"/>
      <c r="Z346" s="10"/>
      <c r="AA346" s="10" t="s">
        <v>181</v>
      </c>
      <c r="AB346" s="10">
        <v>0</v>
      </c>
      <c r="AC346" s="20">
        <v>0</v>
      </c>
      <c r="AD346" s="10" t="s">
        <v>43</v>
      </c>
      <c r="AE346" s="10" t="s">
        <v>210</v>
      </c>
      <c r="AF346" s="10" t="s">
        <v>95</v>
      </c>
      <c r="AG346" s="10">
        <v>10</v>
      </c>
      <c r="AH346" s="27">
        <v>0</v>
      </c>
      <c r="AI346" s="27"/>
      <c r="AJ346" s="27">
        <v>0</v>
      </c>
      <c r="AK346" s="10">
        <v>1</v>
      </c>
      <c r="AL346" s="10">
        <v>658</v>
      </c>
      <c r="AM346" s="19"/>
      <c r="AN346" s="19"/>
      <c r="AO346" s="19">
        <f>Table1[[#This Row],[Y_Acryl_Fa]]/Table1[[#This Row],[S_Acryl_Fa]]</f>
        <v>0.55102040816326536</v>
      </c>
      <c r="AP346" s="19">
        <v>0.98</v>
      </c>
      <c r="AQ346" s="19">
        <f>Table1[[#This Row],[Y_Acryl_Fa]]/Table1[[#This Row],[Ratio_Ac_Fa]]</f>
        <v>5.4000000000000006E-2</v>
      </c>
      <c r="AR346" s="19">
        <v>0.54</v>
      </c>
      <c r="AS346" s="28"/>
      <c r="AT346" s="16"/>
      <c r="AU346" s="10" t="s">
        <v>177</v>
      </c>
      <c r="AV346" s="30"/>
      <c r="AW346" s="10" t="s">
        <v>178</v>
      </c>
      <c r="AX346" s="10">
        <v>1966</v>
      </c>
      <c r="AY346" s="10"/>
      <c r="AZ346" s="10"/>
      <c r="BA346" s="20"/>
      <c r="BB346" s="20"/>
      <c r="BC346" s="20"/>
      <c r="BD346" s="20"/>
    </row>
    <row r="347" spans="1:56" s="18" customFormat="1" ht="18" customHeight="1">
      <c r="A347" s="10">
        <v>346</v>
      </c>
      <c r="B347" s="13"/>
      <c r="C347" s="10" t="s">
        <v>10</v>
      </c>
      <c r="D347" s="10">
        <v>1</v>
      </c>
      <c r="E347" s="27"/>
      <c r="F347" s="10" t="s">
        <v>12</v>
      </c>
      <c r="G347" s="10">
        <v>1</v>
      </c>
      <c r="H347" s="27"/>
      <c r="I347" s="10" t="s">
        <v>82</v>
      </c>
      <c r="J347" s="10"/>
      <c r="K347" s="10"/>
      <c r="L347" s="10">
        <v>0.05</v>
      </c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50"/>
      <c r="Z347" s="10"/>
      <c r="AA347" s="10" t="s">
        <v>181</v>
      </c>
      <c r="AB347" s="10">
        <v>0</v>
      </c>
      <c r="AC347" s="40">
        <v>0</v>
      </c>
      <c r="AD347" s="10" t="s">
        <v>43</v>
      </c>
      <c r="AE347" s="10" t="s">
        <v>210</v>
      </c>
      <c r="AF347" s="10" t="s">
        <v>95</v>
      </c>
      <c r="AG347" s="10">
        <v>10</v>
      </c>
      <c r="AH347" s="13">
        <v>0</v>
      </c>
      <c r="AI347" s="27"/>
      <c r="AJ347" s="27">
        <v>0</v>
      </c>
      <c r="AK347" s="10">
        <v>1</v>
      </c>
      <c r="AL347" s="10">
        <v>658</v>
      </c>
      <c r="AM347" s="19"/>
      <c r="AN347" s="19"/>
      <c r="AO347" s="19">
        <f>Table1[[#This Row],[Y_Acryl_Fa]]/Table1[[#This Row],[S_Acryl_Fa]]</f>
        <v>0.50505050505050508</v>
      </c>
      <c r="AP347" s="19">
        <v>0.99</v>
      </c>
      <c r="AQ347" s="19">
        <f>Table1[[#This Row],[Y_Acryl_Fa]]/Table1[[#This Row],[Ratio_Ac_Fa]]</f>
        <v>0.05</v>
      </c>
      <c r="AR347" s="19">
        <v>0.5</v>
      </c>
      <c r="AS347" s="28"/>
      <c r="AT347" s="16"/>
      <c r="AU347" s="10" t="s">
        <v>177</v>
      </c>
      <c r="AV347" s="30"/>
      <c r="AW347" s="10" t="s">
        <v>178</v>
      </c>
      <c r="AX347" s="10">
        <v>1966</v>
      </c>
      <c r="AY347" s="10"/>
      <c r="AZ347" s="10"/>
      <c r="BA347" s="20"/>
      <c r="BB347" s="20"/>
      <c r="BC347" s="20"/>
      <c r="BD347" s="20"/>
    </row>
    <row r="348" spans="1:56" s="18" customFormat="1" ht="18" customHeight="1">
      <c r="A348" s="10">
        <v>347</v>
      </c>
      <c r="B348" s="13"/>
      <c r="C348" s="10" t="s">
        <v>10</v>
      </c>
      <c r="D348" s="10">
        <v>1</v>
      </c>
      <c r="E348" s="27"/>
      <c r="F348" s="10" t="s">
        <v>12</v>
      </c>
      <c r="G348" s="10">
        <v>1</v>
      </c>
      <c r="H348" s="27"/>
      <c r="I348" s="10" t="s">
        <v>37</v>
      </c>
      <c r="J348" s="10"/>
      <c r="K348" s="10"/>
      <c r="L348" s="10">
        <v>0.05</v>
      </c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50"/>
      <c r="Z348" s="10"/>
      <c r="AA348" s="10" t="s">
        <v>181</v>
      </c>
      <c r="AB348" s="10">
        <v>0</v>
      </c>
      <c r="AC348" s="20">
        <v>0</v>
      </c>
      <c r="AD348" s="10" t="s">
        <v>43</v>
      </c>
      <c r="AE348" s="10" t="s">
        <v>210</v>
      </c>
      <c r="AF348" s="10" t="s">
        <v>95</v>
      </c>
      <c r="AG348" s="10">
        <v>10</v>
      </c>
      <c r="AH348" s="27">
        <v>0</v>
      </c>
      <c r="AI348" s="27"/>
      <c r="AJ348" s="27">
        <v>0</v>
      </c>
      <c r="AK348" s="10">
        <v>1</v>
      </c>
      <c r="AL348" s="10">
        <v>658</v>
      </c>
      <c r="AM348" s="19"/>
      <c r="AN348" s="19"/>
      <c r="AO348" s="19">
        <f>Table1[[#This Row],[Y_Acryl_Fa]]/Table1[[#This Row],[S_Acryl_Fa]]</f>
        <v>0.56976744186046513</v>
      </c>
      <c r="AP348" s="19">
        <v>0.86</v>
      </c>
      <c r="AQ348" s="19">
        <f>Table1[[#This Row],[Y_Acryl_Fa]]/Table1[[#This Row],[Ratio_Ac_Fa]]</f>
        <v>4.9000000000000002E-2</v>
      </c>
      <c r="AR348" s="19">
        <v>0.49</v>
      </c>
      <c r="AS348" s="28"/>
      <c r="AT348" s="16"/>
      <c r="AU348" s="10" t="s">
        <v>177</v>
      </c>
      <c r="AV348" s="30"/>
      <c r="AW348" s="10" t="s">
        <v>178</v>
      </c>
      <c r="AX348" s="10">
        <v>1966</v>
      </c>
      <c r="AY348" s="10"/>
      <c r="AZ348" s="10"/>
      <c r="BA348" s="20"/>
      <c r="BB348" s="20"/>
      <c r="BC348" s="20"/>
      <c r="BD348" s="20"/>
    </row>
    <row r="349" spans="1:56" s="18" customFormat="1" ht="18" customHeight="1">
      <c r="A349" s="10">
        <v>348</v>
      </c>
      <c r="B349" s="13"/>
      <c r="C349" s="10" t="s">
        <v>10</v>
      </c>
      <c r="D349" s="10">
        <v>1</v>
      </c>
      <c r="E349" s="27"/>
      <c r="F349" s="10" t="s">
        <v>12</v>
      </c>
      <c r="G349" s="10">
        <v>1</v>
      </c>
      <c r="H349" s="27"/>
      <c r="I349" s="10" t="s">
        <v>179</v>
      </c>
      <c r="J349" s="10"/>
      <c r="K349" s="10"/>
      <c r="L349" s="10">
        <v>0.05</v>
      </c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50"/>
      <c r="Z349" s="10"/>
      <c r="AA349" s="10" t="s">
        <v>181</v>
      </c>
      <c r="AB349" s="10">
        <v>0</v>
      </c>
      <c r="AC349" s="40">
        <v>0</v>
      </c>
      <c r="AD349" s="10" t="s">
        <v>43</v>
      </c>
      <c r="AE349" s="10" t="s">
        <v>210</v>
      </c>
      <c r="AF349" s="11" t="s">
        <v>95</v>
      </c>
      <c r="AG349" s="10">
        <v>10</v>
      </c>
      <c r="AH349" s="13">
        <v>0</v>
      </c>
      <c r="AI349" s="27"/>
      <c r="AJ349" s="27">
        <v>0</v>
      </c>
      <c r="AK349" s="10">
        <v>1</v>
      </c>
      <c r="AL349" s="10">
        <v>658</v>
      </c>
      <c r="AM349" s="19"/>
      <c r="AN349" s="19"/>
      <c r="AO349" s="19">
        <f>Table1[[#This Row],[Y_Acryl_Fa]]/Table1[[#This Row],[S_Acryl_Fa]]</f>
        <v>0.58139534883720934</v>
      </c>
      <c r="AP349" s="19">
        <v>0.86</v>
      </c>
      <c r="AQ349" s="19">
        <f>Table1[[#This Row],[Y_Acryl_Fa]]/Table1[[#This Row],[Ratio_Ac_Fa]]</f>
        <v>0.05</v>
      </c>
      <c r="AR349" s="19">
        <v>0.5</v>
      </c>
      <c r="AS349" s="28"/>
      <c r="AT349" s="16"/>
      <c r="AU349" s="10" t="s">
        <v>177</v>
      </c>
      <c r="AV349" s="30"/>
      <c r="AW349" s="10" t="s">
        <v>178</v>
      </c>
      <c r="AX349" s="10">
        <v>1966</v>
      </c>
      <c r="AY349" s="10"/>
      <c r="AZ349" s="10"/>
      <c r="BA349" s="20"/>
      <c r="BB349" s="20"/>
      <c r="BC349" s="20"/>
      <c r="BD349" s="20"/>
    </row>
    <row r="350" spans="1:56" s="18" customFormat="1" ht="18" customHeight="1">
      <c r="A350" s="10">
        <v>349</v>
      </c>
      <c r="B350" s="13"/>
      <c r="C350" s="10" t="s">
        <v>10</v>
      </c>
      <c r="D350" s="10">
        <v>1</v>
      </c>
      <c r="E350" s="27"/>
      <c r="F350" s="10" t="s">
        <v>12</v>
      </c>
      <c r="G350" s="10">
        <v>1</v>
      </c>
      <c r="H350" s="27"/>
      <c r="I350" s="10" t="s">
        <v>116</v>
      </c>
      <c r="J350" s="10"/>
      <c r="K350" s="10"/>
      <c r="L350" s="10">
        <v>0.05</v>
      </c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50"/>
      <c r="Z350" s="10"/>
      <c r="AA350" s="10" t="s">
        <v>181</v>
      </c>
      <c r="AB350" s="10">
        <v>0</v>
      </c>
      <c r="AC350" s="20">
        <v>0</v>
      </c>
      <c r="AD350" s="10" t="s">
        <v>43</v>
      </c>
      <c r="AE350" s="10" t="s">
        <v>210</v>
      </c>
      <c r="AF350" s="10" t="s">
        <v>95</v>
      </c>
      <c r="AG350" s="10">
        <v>10</v>
      </c>
      <c r="AH350" s="27">
        <v>0</v>
      </c>
      <c r="AI350" s="27"/>
      <c r="AJ350" s="27">
        <v>0</v>
      </c>
      <c r="AK350" s="10">
        <v>1</v>
      </c>
      <c r="AL350" s="10">
        <v>658</v>
      </c>
      <c r="AM350" s="19"/>
      <c r="AN350" s="19"/>
      <c r="AO350" s="19">
        <f>Table1[[#This Row],[Y_Acryl_Fa]]/Table1[[#This Row],[S_Acryl_Fa]]</f>
        <v>1</v>
      </c>
      <c r="AP350" s="19">
        <v>0.06</v>
      </c>
      <c r="AQ350" s="19">
        <f>Table1[[#This Row],[Y_Acryl_Fa]]/Table1[[#This Row],[Ratio_Ac_Fa]]</f>
        <v>6.0000000000000001E-3</v>
      </c>
      <c r="AR350" s="19">
        <v>0.06</v>
      </c>
      <c r="AS350" s="28"/>
      <c r="AT350" s="16"/>
      <c r="AU350" s="10" t="s">
        <v>177</v>
      </c>
      <c r="AV350" s="30"/>
      <c r="AW350" s="10" t="s">
        <v>178</v>
      </c>
      <c r="AX350" s="10">
        <v>1966</v>
      </c>
      <c r="AY350" s="10"/>
      <c r="AZ350" s="10"/>
      <c r="BA350" s="20"/>
      <c r="BB350" s="20"/>
      <c r="BC350" s="20"/>
      <c r="BD350" s="20"/>
    </row>
    <row r="351" spans="1:56" s="18" customFormat="1" ht="18" customHeight="1">
      <c r="A351" s="10">
        <v>350</v>
      </c>
      <c r="B351" s="13"/>
      <c r="C351" s="10" t="s">
        <v>10</v>
      </c>
      <c r="D351" s="10">
        <v>1</v>
      </c>
      <c r="E351" s="27"/>
      <c r="F351" s="10" t="s">
        <v>12</v>
      </c>
      <c r="G351" s="10">
        <v>1</v>
      </c>
      <c r="H351" s="27"/>
      <c r="I351" s="10" t="s">
        <v>180</v>
      </c>
      <c r="J351" s="10"/>
      <c r="K351" s="10"/>
      <c r="L351" s="10">
        <v>0.05</v>
      </c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50"/>
      <c r="Z351" s="10"/>
      <c r="AA351" s="10" t="s">
        <v>181</v>
      </c>
      <c r="AB351" s="10">
        <v>0</v>
      </c>
      <c r="AC351" s="40">
        <v>0</v>
      </c>
      <c r="AD351" s="10" t="s">
        <v>43</v>
      </c>
      <c r="AE351" s="10" t="s">
        <v>210</v>
      </c>
      <c r="AF351" s="11" t="s">
        <v>95</v>
      </c>
      <c r="AG351" s="10">
        <v>10</v>
      </c>
      <c r="AH351" s="13">
        <v>0</v>
      </c>
      <c r="AI351" s="27"/>
      <c r="AJ351" s="27">
        <v>0</v>
      </c>
      <c r="AK351" s="10">
        <v>1</v>
      </c>
      <c r="AL351" s="10">
        <v>658</v>
      </c>
      <c r="AM351" s="19"/>
      <c r="AN351" s="19"/>
      <c r="AO351" s="19">
        <f>Table1[[#This Row],[Y_Acryl_Fa]]/Table1[[#This Row],[S_Acryl_Fa]]</f>
        <v>0.625</v>
      </c>
      <c r="AP351" s="19">
        <v>0.72</v>
      </c>
      <c r="AQ351" s="19">
        <f>Table1[[#This Row],[Y_Acryl_Fa]]/Table1[[#This Row],[Ratio_Ac_Fa]]</f>
        <v>4.4999999999999998E-2</v>
      </c>
      <c r="AR351" s="19">
        <v>0.45</v>
      </c>
      <c r="AS351" s="28"/>
      <c r="AT351" s="16"/>
      <c r="AU351" s="10" t="s">
        <v>177</v>
      </c>
      <c r="AV351" s="30"/>
      <c r="AW351" s="10" t="s">
        <v>178</v>
      </c>
      <c r="AX351" s="10">
        <v>1966</v>
      </c>
      <c r="AY351" s="10"/>
      <c r="AZ351" s="10"/>
      <c r="BA351" s="20"/>
      <c r="BB351" s="20"/>
      <c r="BC351" s="20"/>
      <c r="BD351" s="20"/>
    </row>
    <row r="352" spans="1:56" s="18" customFormat="1" ht="18" customHeight="1">
      <c r="A352" s="10">
        <v>351</v>
      </c>
      <c r="B352" s="13">
        <v>1</v>
      </c>
      <c r="C352" s="10" t="s">
        <v>10</v>
      </c>
      <c r="D352" s="10">
        <v>1</v>
      </c>
      <c r="E352" s="27"/>
      <c r="F352" s="10" t="s">
        <v>12</v>
      </c>
      <c r="G352" s="10">
        <v>1</v>
      </c>
      <c r="H352" s="27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50"/>
      <c r="Z352" s="10"/>
      <c r="AA352" s="10" t="s">
        <v>181</v>
      </c>
      <c r="AB352" s="10">
        <v>0</v>
      </c>
      <c r="AC352" s="20">
        <v>0</v>
      </c>
      <c r="AD352" s="10" t="s">
        <v>43</v>
      </c>
      <c r="AE352" s="10" t="s">
        <v>210</v>
      </c>
      <c r="AF352" s="10" t="s">
        <v>95</v>
      </c>
      <c r="AG352" s="10">
        <v>10</v>
      </c>
      <c r="AH352" s="27">
        <v>0</v>
      </c>
      <c r="AI352" s="27"/>
      <c r="AJ352" s="27">
        <v>0</v>
      </c>
      <c r="AK352" s="10">
        <v>1</v>
      </c>
      <c r="AL352" s="10">
        <v>658</v>
      </c>
      <c r="AM352" s="19"/>
      <c r="AN352" s="19"/>
      <c r="AO352" s="19">
        <f>Table1[[#This Row],[Y_Acryl_Fa]]/Table1[[#This Row],[S_Acryl_Fa]]</f>
        <v>0.97142857142857153</v>
      </c>
      <c r="AP352" s="19">
        <v>0.35</v>
      </c>
      <c r="AQ352" s="19">
        <f>Table1[[#This Row],[Y_Acryl_Fa]]/Table1[[#This Row],[Ratio_Ac_Fa]]</f>
        <v>3.4000000000000002E-2</v>
      </c>
      <c r="AR352" s="19">
        <v>0.34</v>
      </c>
      <c r="AS352" s="28"/>
      <c r="AT352" s="16"/>
      <c r="AU352" s="10" t="s">
        <v>177</v>
      </c>
      <c r="AV352" s="30"/>
      <c r="AW352" s="10" t="s">
        <v>178</v>
      </c>
      <c r="AX352" s="10">
        <v>1966</v>
      </c>
      <c r="AY352" s="10"/>
      <c r="AZ352" s="10"/>
      <c r="BA352" s="20"/>
      <c r="BB352" s="20"/>
      <c r="BC352" s="20"/>
      <c r="BD352" s="20"/>
    </row>
    <row r="353" spans="1:56" s="18" customFormat="1" ht="18" customHeight="1">
      <c r="A353" s="10">
        <v>352</v>
      </c>
      <c r="B353" s="13"/>
      <c r="C353" s="10" t="s">
        <v>10</v>
      </c>
      <c r="D353" s="10"/>
      <c r="E353" s="27">
        <v>1</v>
      </c>
      <c r="F353" s="10"/>
      <c r="G353" s="10"/>
      <c r="H353" s="27"/>
      <c r="I353" s="10" t="s">
        <v>86</v>
      </c>
      <c r="J353" s="10"/>
      <c r="K353" s="10"/>
      <c r="L353" s="10">
        <v>0.05</v>
      </c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50"/>
      <c r="Z353" s="10"/>
      <c r="AA353" s="10" t="s">
        <v>3</v>
      </c>
      <c r="AB353" s="10">
        <v>0</v>
      </c>
      <c r="AC353" s="40">
        <v>0</v>
      </c>
      <c r="AD353" s="10" t="s">
        <v>43</v>
      </c>
      <c r="AE353" s="10" t="s">
        <v>210</v>
      </c>
      <c r="AF353" s="11" t="s">
        <v>95</v>
      </c>
      <c r="AG353" s="10">
        <v>10</v>
      </c>
      <c r="AH353" s="13">
        <v>0</v>
      </c>
      <c r="AI353" s="27"/>
      <c r="AJ353" s="27">
        <v>0</v>
      </c>
      <c r="AK353" s="10">
        <v>1</v>
      </c>
      <c r="AL353" s="10">
        <v>658</v>
      </c>
      <c r="AM353" s="19"/>
      <c r="AN353" s="19"/>
      <c r="AO353" s="19">
        <f>Table1[[#This Row],[Y_Acryl_Fa]]/Table1[[#This Row],[S_Acryl_Fa]]</f>
        <v>0.50909090909090915</v>
      </c>
      <c r="AP353" s="19">
        <v>0.55000000000000004</v>
      </c>
      <c r="AQ353" s="19">
        <f>Table1[[#This Row],[Y_Acryl_Fa]]/Table1[[#This Row],[Ratio_Ac_Fa]]</f>
        <v>2.8000000000000004E-2</v>
      </c>
      <c r="AR353" s="19">
        <v>0.28000000000000003</v>
      </c>
      <c r="AS353" s="28"/>
      <c r="AT353" s="16"/>
      <c r="AU353" s="10" t="s">
        <v>177</v>
      </c>
      <c r="AV353" s="30"/>
      <c r="AW353" s="10" t="s">
        <v>178</v>
      </c>
      <c r="AX353" s="10">
        <v>1966</v>
      </c>
      <c r="AY353" s="10"/>
      <c r="AZ353" s="10"/>
      <c r="BA353" s="20"/>
      <c r="BB353" s="20"/>
      <c r="BC353" s="20"/>
      <c r="BD353" s="20"/>
    </row>
    <row r="354" spans="1:56" s="18" customFormat="1" ht="18" customHeight="1">
      <c r="A354" s="10">
        <v>353</v>
      </c>
      <c r="B354" s="13"/>
      <c r="C354" s="10" t="s">
        <v>10</v>
      </c>
      <c r="D354" s="10"/>
      <c r="E354" s="27">
        <v>1</v>
      </c>
      <c r="F354" s="10"/>
      <c r="G354" s="10"/>
      <c r="H354" s="27"/>
      <c r="I354" s="10" t="s">
        <v>81</v>
      </c>
      <c r="J354" s="10"/>
      <c r="K354" s="10"/>
      <c r="L354" s="10">
        <v>0.05</v>
      </c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50"/>
      <c r="Z354" s="10"/>
      <c r="AA354" s="10" t="s">
        <v>3</v>
      </c>
      <c r="AB354" s="10">
        <v>0</v>
      </c>
      <c r="AC354" s="20">
        <v>0</v>
      </c>
      <c r="AD354" s="10" t="s">
        <v>43</v>
      </c>
      <c r="AE354" s="10" t="s">
        <v>210</v>
      </c>
      <c r="AF354" s="10" t="s">
        <v>95</v>
      </c>
      <c r="AG354" s="10">
        <v>10</v>
      </c>
      <c r="AH354" s="27">
        <v>0</v>
      </c>
      <c r="AI354" s="27"/>
      <c r="AJ354" s="27">
        <v>0</v>
      </c>
      <c r="AK354" s="10">
        <v>1</v>
      </c>
      <c r="AL354" s="10">
        <v>658</v>
      </c>
      <c r="AM354" s="19"/>
      <c r="AN354" s="19"/>
      <c r="AO354" s="19">
        <f>Table1[[#This Row],[Y_Acryl_Fa]]/Table1[[#This Row],[S_Acryl_Fa]]</f>
        <v>0.59677419354838712</v>
      </c>
      <c r="AP354" s="19">
        <v>0.62</v>
      </c>
      <c r="AQ354" s="19">
        <f>Table1[[#This Row],[Y_Acryl_Fa]]/Table1[[#This Row],[Ratio_Ac_Fa]]</f>
        <v>3.6999999999999998E-2</v>
      </c>
      <c r="AR354" s="19">
        <v>0.37</v>
      </c>
      <c r="AS354" s="28"/>
      <c r="AT354" s="16"/>
      <c r="AU354" s="10" t="s">
        <v>177</v>
      </c>
      <c r="AV354" s="30"/>
      <c r="AW354" s="10" t="s">
        <v>178</v>
      </c>
      <c r="AX354" s="10">
        <v>1966</v>
      </c>
      <c r="AY354" s="10"/>
      <c r="AZ354" s="10"/>
      <c r="BA354" s="20"/>
      <c r="BB354" s="20"/>
      <c r="BC354" s="20"/>
      <c r="BD354" s="20"/>
    </row>
    <row r="355" spans="1:56" s="18" customFormat="1" ht="18" customHeight="1">
      <c r="A355" s="10">
        <v>354</v>
      </c>
      <c r="B355" s="13"/>
      <c r="C355" s="10" t="s">
        <v>10</v>
      </c>
      <c r="D355" s="10"/>
      <c r="E355" s="27">
        <v>1</v>
      </c>
      <c r="F355" s="10"/>
      <c r="G355" s="10"/>
      <c r="H355" s="27"/>
      <c r="I355" s="10" t="s">
        <v>86</v>
      </c>
      <c r="J355" s="10"/>
      <c r="K355" s="10"/>
      <c r="L355" s="10">
        <v>0.05</v>
      </c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50"/>
      <c r="Z355" s="10"/>
      <c r="AA355" s="10" t="s">
        <v>3</v>
      </c>
      <c r="AB355" s="10">
        <v>0</v>
      </c>
      <c r="AC355" s="40">
        <v>0</v>
      </c>
      <c r="AD355" s="10" t="s">
        <v>43</v>
      </c>
      <c r="AE355" s="10" t="s">
        <v>210</v>
      </c>
      <c r="AF355" s="11" t="s">
        <v>95</v>
      </c>
      <c r="AG355" s="10">
        <v>10</v>
      </c>
      <c r="AH355" s="13">
        <v>0</v>
      </c>
      <c r="AI355" s="27"/>
      <c r="AJ355" s="27">
        <v>0</v>
      </c>
      <c r="AK355" s="10">
        <v>1</v>
      </c>
      <c r="AL355" s="10">
        <v>658</v>
      </c>
      <c r="AM355" s="19"/>
      <c r="AN355" s="19"/>
      <c r="AO355" s="19">
        <f>Table1[[#This Row],[Y_Acryl_Fa]]/Table1[[#This Row],[S_Acryl_Fa]]</f>
        <v>0.5</v>
      </c>
      <c r="AP355" s="19">
        <v>0.64</v>
      </c>
      <c r="AQ355" s="19">
        <f>Table1[[#This Row],[Y_Acryl_Fa]]/Table1[[#This Row],[Ratio_Ac_Fa]]</f>
        <v>3.2000000000000001E-2</v>
      </c>
      <c r="AR355" s="19">
        <v>0.32</v>
      </c>
      <c r="AS355" s="28"/>
      <c r="AT355" s="16"/>
      <c r="AU355" s="10" t="s">
        <v>177</v>
      </c>
      <c r="AV355" s="30"/>
      <c r="AW355" s="10" t="s">
        <v>178</v>
      </c>
      <c r="AX355" s="10">
        <v>1966</v>
      </c>
      <c r="AY355" s="10"/>
      <c r="AZ355" s="10"/>
      <c r="BA355" s="20"/>
      <c r="BB355" s="20"/>
      <c r="BC355" s="20"/>
      <c r="BD355" s="20"/>
    </row>
    <row r="356" spans="1:56" s="18" customFormat="1" ht="18" customHeight="1">
      <c r="A356" s="10">
        <v>355</v>
      </c>
      <c r="B356" s="13"/>
      <c r="C356" s="10" t="s">
        <v>10</v>
      </c>
      <c r="D356" s="10"/>
      <c r="E356" s="27">
        <v>1</v>
      </c>
      <c r="F356" s="10"/>
      <c r="G356" s="10"/>
      <c r="H356" s="27"/>
      <c r="I356" s="10" t="s">
        <v>115</v>
      </c>
      <c r="J356" s="10"/>
      <c r="K356" s="10"/>
      <c r="L356" s="10">
        <v>0.05</v>
      </c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50"/>
      <c r="Z356" s="10"/>
      <c r="AA356" s="10" t="s">
        <v>3</v>
      </c>
      <c r="AB356" s="10">
        <v>0</v>
      </c>
      <c r="AC356" s="20">
        <v>0</v>
      </c>
      <c r="AD356" s="10" t="s">
        <v>43</v>
      </c>
      <c r="AE356" s="10" t="s">
        <v>210</v>
      </c>
      <c r="AF356" s="10" t="s">
        <v>95</v>
      </c>
      <c r="AG356" s="10">
        <v>10</v>
      </c>
      <c r="AH356" s="27">
        <v>0</v>
      </c>
      <c r="AI356" s="27"/>
      <c r="AJ356" s="27">
        <v>0</v>
      </c>
      <c r="AK356" s="10">
        <v>1</v>
      </c>
      <c r="AL356" s="10">
        <v>658</v>
      </c>
      <c r="AM356" s="19"/>
      <c r="AN356" s="19"/>
      <c r="AO356" s="19">
        <f>Table1[[#This Row],[Y_Acryl_Fa]]/Table1[[#This Row],[S_Acryl_Fa]]</f>
        <v>0.6964285714285714</v>
      </c>
      <c r="AP356" s="19">
        <v>0.56000000000000005</v>
      </c>
      <c r="AQ356" s="19">
        <f>Table1[[#This Row],[Y_Acryl_Fa]]/Table1[[#This Row],[Ratio_Ac_Fa]]</f>
        <v>3.9E-2</v>
      </c>
      <c r="AR356" s="19">
        <v>0.39</v>
      </c>
      <c r="AS356" s="28"/>
      <c r="AT356" s="16"/>
      <c r="AU356" s="10" t="s">
        <v>177</v>
      </c>
      <c r="AV356" s="30"/>
      <c r="AW356" s="10" t="s">
        <v>178</v>
      </c>
      <c r="AX356" s="10">
        <v>1966</v>
      </c>
      <c r="AY356" s="10"/>
      <c r="AZ356" s="10"/>
      <c r="BA356" s="20"/>
      <c r="BB356" s="20"/>
      <c r="BC356" s="20"/>
      <c r="BD356" s="20"/>
    </row>
    <row r="357" spans="1:56" s="18" customFormat="1" ht="18" customHeight="1">
      <c r="A357" s="10">
        <v>356</v>
      </c>
      <c r="B357" s="13"/>
      <c r="C357" s="10" t="s">
        <v>10</v>
      </c>
      <c r="D357" s="10"/>
      <c r="E357" s="27">
        <v>1</v>
      </c>
      <c r="F357" s="10"/>
      <c r="G357" s="10"/>
      <c r="H357" s="27"/>
      <c r="I357" s="10" t="s">
        <v>45</v>
      </c>
      <c r="J357" s="10"/>
      <c r="K357" s="10"/>
      <c r="L357" s="10">
        <v>0.05</v>
      </c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50"/>
      <c r="Z357" s="10"/>
      <c r="AA357" s="10" t="s">
        <v>3</v>
      </c>
      <c r="AB357" s="10">
        <v>0</v>
      </c>
      <c r="AC357" s="40">
        <v>0</v>
      </c>
      <c r="AD357" s="10" t="s">
        <v>43</v>
      </c>
      <c r="AE357" s="10" t="s">
        <v>210</v>
      </c>
      <c r="AF357" s="11" t="s">
        <v>95</v>
      </c>
      <c r="AG357" s="10">
        <v>10</v>
      </c>
      <c r="AH357" s="13">
        <v>0</v>
      </c>
      <c r="AI357" s="27"/>
      <c r="AJ357" s="27">
        <v>0</v>
      </c>
      <c r="AK357" s="10">
        <v>1</v>
      </c>
      <c r="AL357" s="10">
        <v>658</v>
      </c>
      <c r="AM357" s="19"/>
      <c r="AN357" s="19"/>
      <c r="AO357" s="19">
        <f>Table1[[#This Row],[Y_Acryl_Fa]]/Table1[[#This Row],[S_Acryl_Fa]]</f>
        <v>0.51063829787234039</v>
      </c>
      <c r="AP357" s="19">
        <v>0.94</v>
      </c>
      <c r="AQ357" s="19">
        <f>Table1[[#This Row],[Y_Acryl_Fa]]/Table1[[#This Row],[Ratio_Ac_Fa]]</f>
        <v>4.8000000000000001E-2</v>
      </c>
      <c r="AR357" s="19">
        <v>0.48</v>
      </c>
      <c r="AS357" s="28"/>
      <c r="AT357" s="16"/>
      <c r="AU357" s="10" t="s">
        <v>177</v>
      </c>
      <c r="AV357" s="30"/>
      <c r="AW357" s="10" t="s">
        <v>178</v>
      </c>
      <c r="AX357" s="10">
        <v>1966</v>
      </c>
      <c r="AY357" s="10"/>
      <c r="AZ357" s="10"/>
      <c r="BA357" s="20"/>
      <c r="BB357" s="20"/>
      <c r="BC357" s="20"/>
      <c r="BD357" s="20"/>
    </row>
    <row r="358" spans="1:56" s="18" customFormat="1" ht="18" customHeight="1">
      <c r="A358" s="10">
        <v>357</v>
      </c>
      <c r="B358" s="13"/>
      <c r="C358" s="10" t="s">
        <v>10</v>
      </c>
      <c r="D358" s="10"/>
      <c r="E358" s="27">
        <v>1</v>
      </c>
      <c r="F358" s="10"/>
      <c r="G358" s="10"/>
      <c r="H358" s="27"/>
      <c r="I358" s="10" t="s">
        <v>0</v>
      </c>
      <c r="J358" s="10"/>
      <c r="K358" s="10"/>
      <c r="L358" s="10">
        <v>0.05</v>
      </c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50"/>
      <c r="Z358" s="10"/>
      <c r="AA358" s="10" t="s">
        <v>3</v>
      </c>
      <c r="AB358" s="10">
        <v>0</v>
      </c>
      <c r="AC358" s="20">
        <v>0</v>
      </c>
      <c r="AD358" s="10" t="s">
        <v>43</v>
      </c>
      <c r="AE358" s="10" t="s">
        <v>210</v>
      </c>
      <c r="AF358" s="10" t="s">
        <v>95</v>
      </c>
      <c r="AG358" s="10">
        <v>10</v>
      </c>
      <c r="AH358" s="27">
        <v>0</v>
      </c>
      <c r="AI358" s="27"/>
      <c r="AJ358" s="27">
        <v>0</v>
      </c>
      <c r="AK358" s="10">
        <v>1</v>
      </c>
      <c r="AL358" s="10">
        <v>658</v>
      </c>
      <c r="AM358" s="19"/>
      <c r="AN358" s="19"/>
      <c r="AO358" s="19">
        <f>Table1[[#This Row],[Y_Acryl_Fa]]/Table1[[#This Row],[S_Acryl_Fa]]</f>
        <v>0.57575757575757569</v>
      </c>
      <c r="AP358" s="19">
        <v>0.66</v>
      </c>
      <c r="AQ358" s="19">
        <f>Table1[[#This Row],[Y_Acryl_Fa]]/Table1[[#This Row],[Ratio_Ac_Fa]]</f>
        <v>3.7999999999999999E-2</v>
      </c>
      <c r="AR358" s="19">
        <v>0.38</v>
      </c>
      <c r="AS358" s="28"/>
      <c r="AT358" s="16"/>
      <c r="AU358" s="10" t="s">
        <v>177</v>
      </c>
      <c r="AV358" s="30"/>
      <c r="AW358" s="10" t="s">
        <v>178</v>
      </c>
      <c r="AX358" s="10">
        <v>1966</v>
      </c>
      <c r="AY358" s="10"/>
      <c r="AZ358" s="10"/>
      <c r="BA358" s="20"/>
      <c r="BB358" s="20"/>
      <c r="BC358" s="20"/>
      <c r="BD358" s="20"/>
    </row>
    <row r="359" spans="1:56" s="18" customFormat="1" ht="18" customHeight="1">
      <c r="A359" s="10">
        <v>358</v>
      </c>
      <c r="B359" s="13"/>
      <c r="C359" s="10" t="s">
        <v>10</v>
      </c>
      <c r="D359" s="10"/>
      <c r="E359" s="27">
        <v>1</v>
      </c>
      <c r="F359" s="10"/>
      <c r="G359" s="10"/>
      <c r="H359" s="27"/>
      <c r="I359" s="10" t="s">
        <v>37</v>
      </c>
      <c r="J359" s="10"/>
      <c r="K359" s="10"/>
      <c r="L359" s="10">
        <v>0.05</v>
      </c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50"/>
      <c r="Z359" s="10"/>
      <c r="AA359" s="10" t="s">
        <v>3</v>
      </c>
      <c r="AB359" s="10">
        <v>0</v>
      </c>
      <c r="AC359" s="40">
        <v>0</v>
      </c>
      <c r="AD359" s="10" t="s">
        <v>43</v>
      </c>
      <c r="AE359" s="10" t="s">
        <v>210</v>
      </c>
      <c r="AF359" s="11" t="s">
        <v>95</v>
      </c>
      <c r="AG359" s="10">
        <v>10</v>
      </c>
      <c r="AH359" s="13">
        <v>0</v>
      </c>
      <c r="AI359" s="27"/>
      <c r="AJ359" s="27">
        <v>0</v>
      </c>
      <c r="AK359" s="10">
        <v>1</v>
      </c>
      <c r="AL359" s="10">
        <v>658</v>
      </c>
      <c r="AM359" s="19"/>
      <c r="AN359" s="19"/>
      <c r="AO359" s="19">
        <f>Table1[[#This Row],[Y_Acryl_Fa]]/Table1[[#This Row],[S_Acryl_Fa]]</f>
        <v>0.47169811320754712</v>
      </c>
      <c r="AP359" s="19">
        <v>0.53</v>
      </c>
      <c r="AQ359" s="19">
        <f>Table1[[#This Row],[Y_Acryl_Fa]]/Table1[[#This Row],[Ratio_Ac_Fa]]</f>
        <v>2.5000000000000001E-2</v>
      </c>
      <c r="AR359" s="19">
        <v>0.25</v>
      </c>
      <c r="AS359" s="28"/>
      <c r="AT359" s="16"/>
      <c r="AU359" s="10" t="s">
        <v>177</v>
      </c>
      <c r="AV359" s="30"/>
      <c r="AW359" s="10" t="s">
        <v>178</v>
      </c>
      <c r="AX359" s="10">
        <v>1966</v>
      </c>
      <c r="AY359" s="10"/>
      <c r="AZ359" s="10"/>
      <c r="BA359" s="20"/>
      <c r="BB359" s="20"/>
      <c r="BC359" s="20"/>
      <c r="BD359" s="20"/>
    </row>
    <row r="360" spans="1:56" s="18" customFormat="1" ht="18" customHeight="1">
      <c r="A360" s="10">
        <v>359</v>
      </c>
      <c r="B360" s="13"/>
      <c r="C360" s="10" t="s">
        <v>10</v>
      </c>
      <c r="D360" s="10">
        <v>1</v>
      </c>
      <c r="E360" s="27"/>
      <c r="F360" s="10" t="s">
        <v>12</v>
      </c>
      <c r="G360" s="10">
        <v>1</v>
      </c>
      <c r="H360" s="27"/>
      <c r="I360" s="10" t="s">
        <v>37</v>
      </c>
      <c r="J360" s="10"/>
      <c r="K360" s="10"/>
      <c r="L360" s="10">
        <v>0.05</v>
      </c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50"/>
      <c r="Z360" s="10"/>
      <c r="AA360" s="10"/>
      <c r="AB360" s="10">
        <v>0</v>
      </c>
      <c r="AC360" s="20">
        <v>0</v>
      </c>
      <c r="AD360" s="10" t="s">
        <v>43</v>
      </c>
      <c r="AE360" s="10" t="s">
        <v>210</v>
      </c>
      <c r="AF360" s="10" t="s">
        <v>95</v>
      </c>
      <c r="AG360" s="10">
        <v>10</v>
      </c>
      <c r="AH360" s="27">
        <v>0</v>
      </c>
      <c r="AI360" s="27"/>
      <c r="AJ360" s="27">
        <v>0</v>
      </c>
      <c r="AK360" s="10">
        <v>1</v>
      </c>
      <c r="AL360" s="10">
        <v>658</v>
      </c>
      <c r="AM360" s="19"/>
      <c r="AN360" s="19"/>
      <c r="AO360" s="19">
        <f>Table1[[#This Row],[Y_Acryl_Fa]]/Table1[[#This Row],[S_Acryl_Fa]]</f>
        <v>0.65</v>
      </c>
      <c r="AP360" s="19">
        <v>0.6</v>
      </c>
      <c r="AQ360" s="19">
        <f>Table1[[#This Row],[Y_Acryl_Fa]]/Table1[[#This Row],[Ratio_Ac_Fa]]</f>
        <v>3.9E-2</v>
      </c>
      <c r="AR360" s="19">
        <v>0.39</v>
      </c>
      <c r="AS360" s="28"/>
      <c r="AT360" s="16"/>
      <c r="AU360" s="10" t="s">
        <v>177</v>
      </c>
      <c r="AV360" s="30"/>
      <c r="AW360" s="10" t="s">
        <v>178</v>
      </c>
      <c r="AX360" s="10">
        <v>1966</v>
      </c>
      <c r="AY360" s="10"/>
      <c r="AZ360" s="10"/>
      <c r="BA360" s="20"/>
      <c r="BB360" s="20"/>
      <c r="BC360" s="20"/>
      <c r="BD360" s="20"/>
    </row>
    <row r="361" spans="1:56" s="18" customFormat="1" ht="18" customHeight="1">
      <c r="A361" s="10">
        <v>360</v>
      </c>
      <c r="B361" s="13"/>
      <c r="C361" s="10" t="s">
        <v>10</v>
      </c>
      <c r="D361" s="10">
        <v>1</v>
      </c>
      <c r="E361" s="27"/>
      <c r="F361" s="10" t="s">
        <v>12</v>
      </c>
      <c r="G361" s="10">
        <v>1</v>
      </c>
      <c r="H361" s="27"/>
      <c r="I361" s="10" t="s">
        <v>80</v>
      </c>
      <c r="J361" s="10"/>
      <c r="K361" s="10"/>
      <c r="L361" s="10">
        <v>0.05</v>
      </c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50"/>
      <c r="Z361" s="10"/>
      <c r="AA361" s="10"/>
      <c r="AB361" s="10">
        <v>0</v>
      </c>
      <c r="AC361" s="40">
        <v>0</v>
      </c>
      <c r="AD361" s="10" t="s">
        <v>43</v>
      </c>
      <c r="AE361" s="10" t="s">
        <v>210</v>
      </c>
      <c r="AF361" s="11" t="s">
        <v>95</v>
      </c>
      <c r="AG361" s="10">
        <v>10</v>
      </c>
      <c r="AH361" s="13">
        <v>0</v>
      </c>
      <c r="AI361" s="27"/>
      <c r="AJ361" s="27">
        <v>0</v>
      </c>
      <c r="AK361" s="10">
        <v>1</v>
      </c>
      <c r="AL361" s="10">
        <v>658</v>
      </c>
      <c r="AM361" s="19"/>
      <c r="AN361" s="19"/>
      <c r="AO361" s="19">
        <f>Table1[[#This Row],[Y_Acryl_Fa]]/Table1[[#This Row],[S_Acryl_Fa]]</f>
        <v>0.46666666666666662</v>
      </c>
      <c r="AP361" s="19">
        <v>0.75</v>
      </c>
      <c r="AQ361" s="19">
        <f>Table1[[#This Row],[Y_Acryl_Fa]]/Table1[[#This Row],[Ratio_Ac_Fa]]</f>
        <v>3.4999999999999996E-2</v>
      </c>
      <c r="AR361" s="19">
        <v>0.35</v>
      </c>
      <c r="AS361" s="28"/>
      <c r="AT361" s="16"/>
      <c r="AU361" s="10" t="s">
        <v>177</v>
      </c>
      <c r="AV361" s="30"/>
      <c r="AW361" s="10" t="s">
        <v>178</v>
      </c>
      <c r="AX361" s="10">
        <v>1966</v>
      </c>
      <c r="AY361" s="10"/>
      <c r="AZ361" s="10"/>
      <c r="BA361" s="20"/>
      <c r="BB361" s="20"/>
      <c r="BC361" s="20"/>
      <c r="BD361" s="20"/>
    </row>
    <row r="362" spans="1:56" s="18" customFormat="1" ht="18" customHeight="1">
      <c r="A362" s="10">
        <v>361</v>
      </c>
      <c r="B362" s="13">
        <v>1</v>
      </c>
      <c r="C362" s="10" t="s">
        <v>12</v>
      </c>
      <c r="D362" s="10"/>
      <c r="E362" s="27">
        <v>1</v>
      </c>
      <c r="F362" s="10"/>
      <c r="G362" s="10"/>
      <c r="H362" s="27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50">
        <v>250</v>
      </c>
      <c r="Z362" s="10"/>
      <c r="AA362" s="10"/>
      <c r="AB362" s="10">
        <v>0</v>
      </c>
      <c r="AC362" s="20">
        <v>0</v>
      </c>
      <c r="AD362" s="10" t="s">
        <v>43</v>
      </c>
      <c r="AE362" s="10" t="s">
        <v>210</v>
      </c>
      <c r="AF362" s="10" t="s">
        <v>95</v>
      </c>
      <c r="AG362" s="10">
        <v>10</v>
      </c>
      <c r="AH362" s="27">
        <v>0</v>
      </c>
      <c r="AI362" s="27"/>
      <c r="AJ362" s="27">
        <v>0</v>
      </c>
      <c r="AK362" s="10">
        <v>1</v>
      </c>
      <c r="AL362" s="10">
        <v>658</v>
      </c>
      <c r="AM362" s="19"/>
      <c r="AN362" s="19"/>
      <c r="AO362" s="19">
        <f>Table1[[#This Row],[Y_Acryl_Fa]]/Table1[[#This Row],[S_Acryl_Fa]]</f>
        <v>0.83333333333333337</v>
      </c>
      <c r="AP362" s="19">
        <v>0.12</v>
      </c>
      <c r="AQ362" s="19">
        <f>Table1[[#This Row],[Y_Acryl_Fa]]/Table1[[#This Row],[Ratio_Ac_Fa]]</f>
        <v>0.01</v>
      </c>
      <c r="AR362" s="19">
        <v>0.1</v>
      </c>
      <c r="AS362" s="28"/>
      <c r="AT362" s="16"/>
      <c r="AU362" s="10" t="s">
        <v>177</v>
      </c>
      <c r="AV362" s="30"/>
      <c r="AW362" s="10" t="s">
        <v>178</v>
      </c>
      <c r="AX362" s="10">
        <v>1966</v>
      </c>
      <c r="AY362" s="10"/>
      <c r="AZ362" s="10"/>
      <c r="BA362" s="20"/>
      <c r="BB362" s="20"/>
      <c r="BC362" s="20"/>
      <c r="BD362" s="20"/>
    </row>
    <row r="363" spans="1:56" s="18" customFormat="1" ht="18" customHeight="1">
      <c r="A363" s="10">
        <v>362</v>
      </c>
      <c r="B363" s="13"/>
      <c r="C363" s="10" t="s">
        <v>10</v>
      </c>
      <c r="D363" s="10"/>
      <c r="E363" s="27">
        <v>1</v>
      </c>
      <c r="F363" s="10"/>
      <c r="G363" s="10"/>
      <c r="H363" s="27"/>
      <c r="I363" s="10" t="s">
        <v>12</v>
      </c>
      <c r="J363" s="10"/>
      <c r="K363" s="10"/>
      <c r="L363" s="10">
        <v>0.05</v>
      </c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50"/>
      <c r="Z363" s="10"/>
      <c r="AA363" s="10" t="s">
        <v>3</v>
      </c>
      <c r="AB363" s="10">
        <v>0</v>
      </c>
      <c r="AC363" s="40">
        <v>0</v>
      </c>
      <c r="AD363" s="10" t="s">
        <v>43</v>
      </c>
      <c r="AE363" s="10" t="s">
        <v>210</v>
      </c>
      <c r="AF363" s="11" t="s">
        <v>95</v>
      </c>
      <c r="AG363" s="10">
        <v>10</v>
      </c>
      <c r="AH363" s="13">
        <v>0</v>
      </c>
      <c r="AI363" s="27"/>
      <c r="AJ363" s="27">
        <v>0</v>
      </c>
      <c r="AK363" s="10">
        <v>1</v>
      </c>
      <c r="AL363" s="10">
        <v>658</v>
      </c>
      <c r="AM363" s="19"/>
      <c r="AN363" s="19"/>
      <c r="AO363" s="19">
        <f>Table1[[#This Row],[Y_Acryl_Fa]]/Table1[[#This Row],[S_Acryl_Fa]]</f>
        <v>0.96666666666666667</v>
      </c>
      <c r="AP363" s="19">
        <v>0.3</v>
      </c>
      <c r="AQ363" s="19">
        <f>Table1[[#This Row],[Y_Acryl_Fa]]/Table1[[#This Row],[Ratio_Ac_Fa]]</f>
        <v>2.8999999999999998E-2</v>
      </c>
      <c r="AR363" s="19">
        <v>0.28999999999999998</v>
      </c>
      <c r="AS363" s="28"/>
      <c r="AT363" s="16"/>
      <c r="AU363" s="10" t="s">
        <v>177</v>
      </c>
      <c r="AV363" s="30"/>
      <c r="AW363" s="10" t="s">
        <v>178</v>
      </c>
      <c r="AX363" s="10">
        <v>1966</v>
      </c>
      <c r="AY363" s="10"/>
      <c r="AZ363" s="10"/>
      <c r="BA363" s="20"/>
      <c r="BB363" s="20"/>
      <c r="BC363" s="20"/>
      <c r="BD363" s="20"/>
    </row>
    <row r="364" spans="1:56" s="18" customFormat="1">
      <c r="A364" s="10">
        <v>363</v>
      </c>
      <c r="B364" s="13"/>
      <c r="C364" s="10" t="s">
        <v>10</v>
      </c>
      <c r="D364" s="10"/>
      <c r="E364" s="27">
        <v>1</v>
      </c>
      <c r="F364" s="10"/>
      <c r="G364" s="10"/>
      <c r="H364" s="27"/>
      <c r="I364" s="10" t="s">
        <v>7</v>
      </c>
      <c r="J364" s="10"/>
      <c r="K364" s="10"/>
      <c r="L364" s="10">
        <v>0.05</v>
      </c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50"/>
      <c r="Z364" s="10"/>
      <c r="AA364" s="10" t="s">
        <v>3</v>
      </c>
      <c r="AB364" s="10">
        <v>0</v>
      </c>
      <c r="AC364" s="20">
        <v>0</v>
      </c>
      <c r="AD364" s="10" t="s">
        <v>43</v>
      </c>
      <c r="AE364" s="10" t="s">
        <v>210</v>
      </c>
      <c r="AF364" s="10" t="s">
        <v>95</v>
      </c>
      <c r="AG364" s="10">
        <v>10</v>
      </c>
      <c r="AH364" s="27">
        <v>0</v>
      </c>
      <c r="AI364" s="27"/>
      <c r="AJ364" s="27">
        <v>0</v>
      </c>
      <c r="AK364" s="10">
        <v>1</v>
      </c>
      <c r="AL364" s="10">
        <v>658</v>
      </c>
      <c r="AM364" s="19"/>
      <c r="AN364" s="19"/>
      <c r="AO364" s="19"/>
      <c r="AP364" s="19"/>
      <c r="AQ364" s="19">
        <f>Table1[[#This Row],[Y_Acryl_Fa]]/Table1[[#This Row],[Ratio_Ac_Fa]]</f>
        <v>2.0999999999999998E-2</v>
      </c>
      <c r="AR364" s="19">
        <v>0.21</v>
      </c>
      <c r="AS364" s="28"/>
      <c r="AT364" s="16"/>
      <c r="AU364" s="10" t="s">
        <v>177</v>
      </c>
      <c r="AV364" s="30"/>
      <c r="AW364" s="10" t="s">
        <v>178</v>
      </c>
      <c r="AX364" s="10">
        <v>1966</v>
      </c>
      <c r="AY364" s="10"/>
      <c r="AZ364" s="10"/>
      <c r="BA364" s="20"/>
      <c r="BB364" s="20"/>
      <c r="BC364" s="20"/>
      <c r="BD364" s="20"/>
    </row>
    <row r="365" spans="1:56" s="18" customFormat="1">
      <c r="A365" s="10">
        <v>364</v>
      </c>
      <c r="B365" s="13">
        <v>1</v>
      </c>
      <c r="C365" s="10" t="s">
        <v>10</v>
      </c>
      <c r="D365" s="10">
        <v>1</v>
      </c>
      <c r="E365" s="27"/>
      <c r="F365" s="10" t="s">
        <v>11</v>
      </c>
      <c r="G365" s="10">
        <v>1.4999999999999999E-2</v>
      </c>
      <c r="H365" s="27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50">
        <v>466</v>
      </c>
      <c r="Z365" s="10"/>
      <c r="AA365" s="10"/>
      <c r="AB365" s="10">
        <v>1</v>
      </c>
      <c r="AC365" s="20">
        <v>0</v>
      </c>
      <c r="AD365" s="10" t="s">
        <v>44</v>
      </c>
      <c r="AE365" s="10" t="s">
        <v>211</v>
      </c>
      <c r="AF365" s="10" t="s">
        <v>208</v>
      </c>
      <c r="AG365" s="10">
        <v>1</v>
      </c>
      <c r="AH365" s="27">
        <v>2</v>
      </c>
      <c r="AI365" s="27">
        <f>0.48/1.04793656144227</f>
        <v>0.4580429938806394</v>
      </c>
      <c r="AJ365" s="27">
        <v>6</v>
      </c>
      <c r="AK365" s="10">
        <v>5</v>
      </c>
      <c r="AL365" s="10">
        <v>633</v>
      </c>
      <c r="AM365" s="19">
        <v>8.5000000000000006E-2</v>
      </c>
      <c r="AN365" s="19">
        <v>0.64400000000000002</v>
      </c>
      <c r="AO365" s="19"/>
      <c r="AP365" s="19"/>
      <c r="AQ365" s="19">
        <f>Table1[[#This Row],[X_Ac]]*Table1[[#This Row],[S_Acryl_Ac]]</f>
        <v>5.4740000000000004E-2</v>
      </c>
      <c r="AR365" s="19">
        <f>Table1[[#This Row],[Y_Acryl_Ac]]*Table1[[#This Row],[Ratio_Ac_Fa]]</f>
        <v>5.4740000000000004E-2</v>
      </c>
      <c r="AS365" s="28">
        <f t="shared" ref="AS365:AS376" si="47">AVERAGE(BC365:BD365)</f>
        <v>0.15622331886556912</v>
      </c>
      <c r="AT365" s="16" t="s">
        <v>217</v>
      </c>
      <c r="AU365" s="10" t="s">
        <v>215</v>
      </c>
      <c r="AV365" s="30" t="s">
        <v>346</v>
      </c>
      <c r="AW365" s="10" t="s">
        <v>216</v>
      </c>
      <c r="AX365" s="10">
        <v>2024</v>
      </c>
      <c r="AY365" s="10">
        <v>5</v>
      </c>
      <c r="AZ365" s="20">
        <v>0.47565253582258293</v>
      </c>
      <c r="BA365" s="20">
        <v>0.23782626791129141</v>
      </c>
      <c r="BB365" s="20">
        <v>0.23782626791129141</v>
      </c>
      <c r="BC365" s="20">
        <f>BA365*60*AR365/AY365</f>
        <v>0.15622331886556912</v>
      </c>
      <c r="BD365" s="20">
        <f>BB365*60*AQ365/AY365</f>
        <v>0.15622331886556912</v>
      </c>
    </row>
    <row r="366" spans="1:56" s="18" customFormat="1">
      <c r="A366" s="10">
        <v>365</v>
      </c>
      <c r="B366" s="13">
        <v>1</v>
      </c>
      <c r="C366" s="10" t="s">
        <v>0</v>
      </c>
      <c r="D366" s="10"/>
      <c r="E366" s="27">
        <v>1</v>
      </c>
      <c r="F366" s="10"/>
      <c r="G366" s="10"/>
      <c r="H366" s="27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50">
        <v>10</v>
      </c>
      <c r="Z366" s="10"/>
      <c r="AA366" s="10"/>
      <c r="AB366" s="10">
        <v>1</v>
      </c>
      <c r="AC366" s="20">
        <v>0</v>
      </c>
      <c r="AD366" s="10" t="s">
        <v>44</v>
      </c>
      <c r="AE366" s="10" t="s">
        <v>211</v>
      </c>
      <c r="AF366" s="10" t="s">
        <v>208</v>
      </c>
      <c r="AG366" s="10">
        <v>1</v>
      </c>
      <c r="AH366" s="27">
        <v>2</v>
      </c>
      <c r="AI366" s="27">
        <f>0.48/1.04793656144227</f>
        <v>0.4580429938806394</v>
      </c>
      <c r="AJ366" s="27">
        <v>6</v>
      </c>
      <c r="AK366" s="10">
        <v>5</v>
      </c>
      <c r="AL366" s="10">
        <v>633</v>
      </c>
      <c r="AM366" s="19">
        <v>8.8999999999999996E-2</v>
      </c>
      <c r="AN366" s="19">
        <v>0.53400000000000003</v>
      </c>
      <c r="AO366" s="19"/>
      <c r="AP366" s="19"/>
      <c r="AQ366" s="19">
        <f>Table1[[#This Row],[X_Ac]]*Table1[[#This Row],[S_Acryl_Ac]]</f>
        <v>4.7525999999999999E-2</v>
      </c>
      <c r="AR366" s="19">
        <f>Table1[[#This Row],[Y_Acryl_Ac]]*Table1[[#This Row],[Ratio_Ac_Fa]]</f>
        <v>4.7525999999999999E-2</v>
      </c>
      <c r="AS366" s="28">
        <f t="shared" si="47"/>
        <v>0.13563517450502444</v>
      </c>
      <c r="AT366" s="16" t="s">
        <v>274</v>
      </c>
      <c r="AU366" s="10" t="s">
        <v>215</v>
      </c>
      <c r="AV366" s="30"/>
      <c r="AW366" s="10" t="s">
        <v>216</v>
      </c>
      <c r="AX366" s="10">
        <v>2024</v>
      </c>
      <c r="AY366" s="10">
        <v>5</v>
      </c>
      <c r="AZ366" s="20">
        <v>0.47565253582258293</v>
      </c>
      <c r="BA366" s="20">
        <v>0.23782626791129141</v>
      </c>
      <c r="BB366" s="20">
        <v>0.23782626791129141</v>
      </c>
      <c r="BC366" s="20">
        <f>BA366*60*AR366/AY366</f>
        <v>0.13563517450502444</v>
      </c>
      <c r="BD366" s="20">
        <f>BB366*60*AQ366/AY366</f>
        <v>0.13563517450502444</v>
      </c>
    </row>
    <row r="367" spans="1:56" s="18" customFormat="1">
      <c r="A367" s="10">
        <v>366</v>
      </c>
      <c r="B367" s="13"/>
      <c r="C367" s="10" t="s">
        <v>10</v>
      </c>
      <c r="D367" s="10"/>
      <c r="E367" s="27">
        <v>1</v>
      </c>
      <c r="F367" s="10"/>
      <c r="G367" s="10"/>
      <c r="H367" s="27"/>
      <c r="I367" s="10" t="s">
        <v>0</v>
      </c>
      <c r="J367" s="10"/>
      <c r="K367" s="10"/>
      <c r="L367" s="10">
        <v>0.03</v>
      </c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50">
        <v>129</v>
      </c>
      <c r="Z367" s="10">
        <v>257</v>
      </c>
      <c r="AA367" s="10"/>
      <c r="AB367" s="10">
        <v>1</v>
      </c>
      <c r="AC367" s="20">
        <v>0</v>
      </c>
      <c r="AD367" s="10" t="s">
        <v>44</v>
      </c>
      <c r="AE367" s="10" t="s">
        <v>211</v>
      </c>
      <c r="AF367" s="10" t="s">
        <v>208</v>
      </c>
      <c r="AG367" s="10">
        <v>1</v>
      </c>
      <c r="AH367" s="27">
        <v>2</v>
      </c>
      <c r="AI367" s="27">
        <f>0.48/1.04793656144227</f>
        <v>0.4580429938806394</v>
      </c>
      <c r="AJ367" s="27">
        <v>6</v>
      </c>
      <c r="AK367" s="10">
        <v>5</v>
      </c>
      <c r="AL367" s="10">
        <v>633</v>
      </c>
      <c r="AM367" s="19">
        <v>0.224</v>
      </c>
      <c r="AN367" s="19">
        <v>0.75</v>
      </c>
      <c r="AO367" s="19"/>
      <c r="AP367" s="19"/>
      <c r="AQ367" s="19">
        <f>Table1[[#This Row],[X_Ac]]*Table1[[#This Row],[S_Acryl_Ac]]</f>
        <v>0.16800000000000001</v>
      </c>
      <c r="AR367" s="19">
        <f>Table1[[#This Row],[Y_Acryl_Ac]]*Table1[[#This Row],[Ratio_Ac_Fa]]</f>
        <v>0.16800000000000001</v>
      </c>
      <c r="AS367" s="28">
        <f t="shared" si="47"/>
        <v>0.47945775610916347</v>
      </c>
      <c r="AT367" s="16" t="s">
        <v>275</v>
      </c>
      <c r="AU367" s="10" t="s">
        <v>215</v>
      </c>
      <c r="AV367" s="30"/>
      <c r="AW367" s="10" t="s">
        <v>216</v>
      </c>
      <c r="AX367" s="10">
        <v>2024</v>
      </c>
      <c r="AY367" s="10">
        <v>5</v>
      </c>
      <c r="AZ367" s="20">
        <v>0.47565253582258293</v>
      </c>
      <c r="BA367" s="20">
        <v>0.23782626791129141</v>
      </c>
      <c r="BB367" s="20">
        <v>0.23782626791129141</v>
      </c>
      <c r="BC367" s="20">
        <f>BA367*60*AR367/AY367</f>
        <v>0.47945775610916347</v>
      </c>
      <c r="BD367" s="20">
        <f>BB367*60*AQ367/AY367</f>
        <v>0.47945775610916347</v>
      </c>
    </row>
    <row r="368" spans="1:56" s="18" customFormat="1">
      <c r="A368" s="10">
        <v>367</v>
      </c>
      <c r="B368" s="13"/>
      <c r="C368" s="10" t="s">
        <v>10</v>
      </c>
      <c r="D368" s="10"/>
      <c r="E368" s="27">
        <v>1</v>
      </c>
      <c r="F368" s="10"/>
      <c r="G368" s="10"/>
      <c r="H368" s="27"/>
      <c r="I368" s="10" t="s">
        <v>0</v>
      </c>
      <c r="J368" s="10"/>
      <c r="K368" s="10"/>
      <c r="L368" s="10">
        <v>0.03</v>
      </c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50">
        <v>287</v>
      </c>
      <c r="Z368" s="10">
        <v>441</v>
      </c>
      <c r="AA368" s="10"/>
      <c r="AB368" s="10">
        <v>1</v>
      </c>
      <c r="AC368" s="20">
        <v>0</v>
      </c>
      <c r="AD368" s="10" t="s">
        <v>44</v>
      </c>
      <c r="AE368" s="10" t="s">
        <v>211</v>
      </c>
      <c r="AF368" s="10" t="s">
        <v>208</v>
      </c>
      <c r="AG368" s="10">
        <v>1</v>
      </c>
      <c r="AH368" s="27">
        <v>2</v>
      </c>
      <c r="AI368" s="27">
        <f>0.48/1.04793656144227</f>
        <v>0.4580429938806394</v>
      </c>
      <c r="AJ368" s="27">
        <v>6</v>
      </c>
      <c r="AK368" s="10">
        <v>5</v>
      </c>
      <c r="AL368" s="10">
        <v>633</v>
      </c>
      <c r="AM368" s="19">
        <v>0.36399999999999999</v>
      </c>
      <c r="AN368" s="19">
        <v>0.73199999999999998</v>
      </c>
      <c r="AO368" s="19"/>
      <c r="AP368" s="19"/>
      <c r="AQ368" s="19">
        <f>Table1[[#This Row],[X_Ac]]*Table1[[#This Row],[S_Acryl_Ac]]</f>
        <v>0.26644799999999996</v>
      </c>
      <c r="AR368" s="19">
        <f>Table1[[#This Row],[Y_Acryl_Ac]]*Table1[[#This Row],[Ratio_Ac_Fa]]</f>
        <v>0.26644799999999996</v>
      </c>
      <c r="AS368" s="28">
        <f t="shared" si="47"/>
        <v>0.76042000118913322</v>
      </c>
      <c r="AT368" s="16" t="s">
        <v>276</v>
      </c>
      <c r="AU368" s="10" t="s">
        <v>215</v>
      </c>
      <c r="AV368" s="30"/>
      <c r="AW368" s="10" t="s">
        <v>216</v>
      </c>
      <c r="AX368" s="10">
        <v>2024</v>
      </c>
      <c r="AY368" s="10">
        <v>5</v>
      </c>
      <c r="AZ368" s="20">
        <v>0.47565253582258293</v>
      </c>
      <c r="BA368" s="20">
        <v>0.23782626791129141</v>
      </c>
      <c r="BB368" s="20">
        <v>0.23782626791129141</v>
      </c>
      <c r="BC368" s="20">
        <f>BA368*60*AR368/AY368</f>
        <v>0.76042000118913322</v>
      </c>
      <c r="BD368" s="20">
        <f>BB368*60*AQ368/AY368</f>
        <v>0.76042000118913322</v>
      </c>
    </row>
    <row r="369" spans="1:56" s="18" customFormat="1">
      <c r="A369" s="10">
        <v>368</v>
      </c>
      <c r="B369" s="13"/>
      <c r="C369" s="10" t="s">
        <v>10</v>
      </c>
      <c r="D369" s="10">
        <v>1</v>
      </c>
      <c r="E369" s="27"/>
      <c r="F369" s="10" t="s">
        <v>11</v>
      </c>
      <c r="G369" s="10">
        <v>1.4999999999999999E-2</v>
      </c>
      <c r="H369" s="27"/>
      <c r="I369" s="10" t="s">
        <v>0</v>
      </c>
      <c r="J369" s="10"/>
      <c r="K369" s="10"/>
      <c r="L369" s="10">
        <v>0.03</v>
      </c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50">
        <v>321</v>
      </c>
      <c r="Z369" s="10">
        <v>466</v>
      </c>
      <c r="AA369" s="10"/>
      <c r="AB369" s="10">
        <v>1</v>
      </c>
      <c r="AC369" s="20">
        <v>0</v>
      </c>
      <c r="AD369" s="10" t="s">
        <v>44</v>
      </c>
      <c r="AE369" s="10" t="s">
        <v>211</v>
      </c>
      <c r="AF369" s="10" t="s">
        <v>208</v>
      </c>
      <c r="AG369" s="10">
        <v>1</v>
      </c>
      <c r="AH369" s="27">
        <v>2</v>
      </c>
      <c r="AI369" s="27">
        <f>0.48/1.04793656144227</f>
        <v>0.4580429938806394</v>
      </c>
      <c r="AJ369" s="27">
        <v>6</v>
      </c>
      <c r="AK369" s="10">
        <v>5</v>
      </c>
      <c r="AL369" s="10">
        <v>633</v>
      </c>
      <c r="AM369" s="19">
        <v>0.497</v>
      </c>
      <c r="AN369" s="19">
        <v>0.81799999999999995</v>
      </c>
      <c r="AO369" s="19"/>
      <c r="AP369" s="19"/>
      <c r="AQ369" s="19">
        <f>Table1[[#This Row],[X_Ac]]*Table1[[#This Row],[S_Acryl_Ac]]</f>
        <v>0.40654599999999996</v>
      </c>
      <c r="AR369" s="19">
        <f>Table1[[#This Row],[Y_Acryl_Ac]]*Table1[[#This Row],[Ratio_Ac_Fa]]</f>
        <v>0.40654599999999996</v>
      </c>
      <c r="AS369" s="28">
        <f t="shared" si="47"/>
        <v>1.1602478149711666</v>
      </c>
      <c r="AT369" s="16" t="s">
        <v>277</v>
      </c>
      <c r="AU369" s="10" t="s">
        <v>215</v>
      </c>
      <c r="AV369" s="30"/>
      <c r="AW369" s="10" t="s">
        <v>216</v>
      </c>
      <c r="AX369" s="10">
        <v>2024</v>
      </c>
      <c r="AY369" s="10">
        <v>5</v>
      </c>
      <c r="AZ369" s="20">
        <v>0.47565253582258293</v>
      </c>
      <c r="BA369" s="20">
        <v>0.23782626791129141</v>
      </c>
      <c r="BB369" s="20">
        <v>0.23782626791129141</v>
      </c>
      <c r="BC369" s="20">
        <f>BA369*60*AR369/AY369</f>
        <v>1.1602478149711666</v>
      </c>
      <c r="BD369" s="20">
        <f>BB369*60*AQ369/AY369</f>
        <v>1.1602478149711666</v>
      </c>
    </row>
    <row r="370" spans="1:56" s="18" customFormat="1">
      <c r="A370" s="10">
        <v>369</v>
      </c>
      <c r="B370" s="13">
        <v>1</v>
      </c>
      <c r="C370" s="10" t="s">
        <v>10</v>
      </c>
      <c r="D370" s="10"/>
      <c r="E370" s="27">
        <v>1</v>
      </c>
      <c r="F370" s="10"/>
      <c r="G370" s="10"/>
      <c r="H370" s="27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50">
        <v>773</v>
      </c>
      <c r="Z370" s="10"/>
      <c r="AA370" s="10"/>
      <c r="AB370" s="10">
        <v>1</v>
      </c>
      <c r="AC370" s="20">
        <v>0</v>
      </c>
      <c r="AD370" s="10" t="s">
        <v>196</v>
      </c>
      <c r="AE370" s="10" t="s">
        <v>211</v>
      </c>
      <c r="AF370" s="10" t="s">
        <v>209</v>
      </c>
      <c r="AG370" s="10">
        <v>2.5</v>
      </c>
      <c r="AH370" s="27">
        <v>4</v>
      </c>
      <c r="AI370" s="27">
        <f t="shared" ref="AI370:AI376" si="48">0.1*60/0.3</f>
        <v>20</v>
      </c>
      <c r="AJ370" s="27">
        <f t="shared" ref="AJ370:AJ376" si="49">20/0.3</f>
        <v>66.666666666666671</v>
      </c>
      <c r="AK370" s="10">
        <v>1</v>
      </c>
      <c r="AL370" s="10">
        <v>663</v>
      </c>
      <c r="AM370" s="19"/>
      <c r="AN370" s="19"/>
      <c r="AO370" s="19">
        <f>Table1[[#This Row],[Y_Acryl_Fa]]/Table1[[#This Row],[S_Acryl_Fa]]</f>
        <v>0</v>
      </c>
      <c r="AP370" s="19">
        <v>1</v>
      </c>
      <c r="AQ370" s="19">
        <f>Table1[[#This Row],[Y_Acryl_Fa]]/Table1[[#This Row],[Ratio_Ac_Fa]]</f>
        <v>0</v>
      </c>
      <c r="AR370" s="19">
        <v>0</v>
      </c>
      <c r="AS370" s="28">
        <f t="shared" si="47"/>
        <v>0</v>
      </c>
      <c r="AT370" s="16"/>
      <c r="AU370" s="10" t="s">
        <v>229</v>
      </c>
      <c r="AV370" s="30"/>
      <c r="AW370" s="10" t="s">
        <v>230</v>
      </c>
      <c r="AX370" s="10">
        <v>2021</v>
      </c>
      <c r="AY370" s="10">
        <v>0.3</v>
      </c>
      <c r="AZ370" s="20">
        <v>0.83722505664303482</v>
      </c>
      <c r="BA370" s="20">
        <v>0.20930626416075868</v>
      </c>
      <c r="BB370" s="20">
        <v>0.5232656604018967</v>
      </c>
      <c r="BC370" s="20">
        <f>BA370*60*AR370/AY370</f>
        <v>0</v>
      </c>
      <c r="BD370" s="20">
        <f>BB370*60*AQ370/AY370</f>
        <v>0</v>
      </c>
    </row>
    <row r="371" spans="1:56" s="18" customFormat="1">
      <c r="A371" s="10">
        <v>370</v>
      </c>
      <c r="B371" s="13"/>
      <c r="C371" s="10" t="s">
        <v>10</v>
      </c>
      <c r="D371" s="10"/>
      <c r="E371" s="27">
        <v>1</v>
      </c>
      <c r="F371" s="10"/>
      <c r="G371" s="10"/>
      <c r="H371" s="27"/>
      <c r="I371" s="10" t="s">
        <v>80</v>
      </c>
      <c r="J371" s="10"/>
      <c r="K371" s="20">
        <f>0.376/1000*24.305</f>
        <v>9.1386799999999997E-3</v>
      </c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50">
        <v>671</v>
      </c>
      <c r="Z371" s="50">
        <v>773</v>
      </c>
      <c r="AA371" s="10"/>
      <c r="AB371" s="10">
        <v>1</v>
      </c>
      <c r="AC371" s="20">
        <v>0</v>
      </c>
      <c r="AD371" s="10" t="s">
        <v>196</v>
      </c>
      <c r="AE371" s="10" t="s">
        <v>211</v>
      </c>
      <c r="AF371" s="10" t="s">
        <v>209</v>
      </c>
      <c r="AG371" s="10">
        <v>2.5</v>
      </c>
      <c r="AH371" s="27">
        <v>4</v>
      </c>
      <c r="AI371" s="27">
        <f t="shared" si="48"/>
        <v>20</v>
      </c>
      <c r="AJ371" s="27">
        <f t="shared" si="49"/>
        <v>66.666666666666671</v>
      </c>
      <c r="AK371" s="10">
        <v>1</v>
      </c>
      <c r="AL371" s="10">
        <v>663</v>
      </c>
      <c r="AM371" s="19"/>
      <c r="AN371" s="19"/>
      <c r="AO371" s="19">
        <f>Table1[[#This Row],[Y_Acryl_Fa]]/Table1[[#This Row],[S_Acryl_Fa]]</f>
        <v>0.46666666666666673</v>
      </c>
      <c r="AP371" s="19">
        <v>0.15</v>
      </c>
      <c r="AQ371" s="19">
        <f>Table1[[#This Row],[Y_Acryl_Fa]]/Table1[[#This Row],[Ratio_Ac_Fa]]</f>
        <v>2.8000000000000004E-2</v>
      </c>
      <c r="AR371" s="19">
        <v>7.0000000000000007E-2</v>
      </c>
      <c r="AS371" s="28">
        <f t="shared" si="47"/>
        <v>2.9302876982506216</v>
      </c>
      <c r="AT371" s="16"/>
      <c r="AU371" s="10" t="s">
        <v>229</v>
      </c>
      <c r="AV371" s="30"/>
      <c r="AW371" s="10" t="s">
        <v>230</v>
      </c>
      <c r="AX371" s="10">
        <v>2021</v>
      </c>
      <c r="AY371" s="10">
        <v>0.3</v>
      </c>
      <c r="AZ371" s="20">
        <v>0.83722505664303482</v>
      </c>
      <c r="BA371" s="20">
        <v>0.20930626416075868</v>
      </c>
      <c r="BB371" s="20">
        <v>0.5232656604018967</v>
      </c>
      <c r="BC371" s="20">
        <f>BA371*60*AR371/AY371</f>
        <v>2.9302876982506216</v>
      </c>
      <c r="BD371" s="20">
        <f>BB371*60*AQ371/AY371</f>
        <v>2.9302876982506216</v>
      </c>
    </row>
    <row r="372" spans="1:56" s="18" customFormat="1">
      <c r="A372" s="10">
        <v>371</v>
      </c>
      <c r="B372" s="13"/>
      <c r="C372" s="10" t="s">
        <v>10</v>
      </c>
      <c r="D372" s="10"/>
      <c r="E372" s="27">
        <v>1</v>
      </c>
      <c r="F372" s="10"/>
      <c r="G372" s="10"/>
      <c r="H372" s="27"/>
      <c r="I372" s="10" t="s">
        <v>81</v>
      </c>
      <c r="J372" s="10"/>
      <c r="K372" s="20">
        <f>0.376/1000*40.078</f>
        <v>1.5069328E-2</v>
      </c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50">
        <v>671</v>
      </c>
      <c r="Z372" s="50">
        <v>773</v>
      </c>
      <c r="AA372" s="10"/>
      <c r="AB372" s="10">
        <v>1</v>
      </c>
      <c r="AC372" s="20">
        <v>0</v>
      </c>
      <c r="AD372" s="10" t="s">
        <v>196</v>
      </c>
      <c r="AE372" s="10" t="s">
        <v>211</v>
      </c>
      <c r="AF372" s="10" t="s">
        <v>209</v>
      </c>
      <c r="AG372" s="10">
        <v>2.5</v>
      </c>
      <c r="AH372" s="27">
        <v>4</v>
      </c>
      <c r="AI372" s="27">
        <f t="shared" si="48"/>
        <v>20</v>
      </c>
      <c r="AJ372" s="27">
        <f t="shared" si="49"/>
        <v>66.666666666666671</v>
      </c>
      <c r="AK372" s="10">
        <v>1</v>
      </c>
      <c r="AL372" s="10">
        <v>663</v>
      </c>
      <c r="AM372" s="19"/>
      <c r="AN372" s="19"/>
      <c r="AO372" s="19">
        <f>Table1[[#This Row],[Y_Acryl_Fa]]/Table1[[#This Row],[S_Acryl_Fa]]</f>
        <v>0.58730158730158732</v>
      </c>
      <c r="AP372" s="19">
        <v>0.63</v>
      </c>
      <c r="AQ372" s="19">
        <f>Table1[[#This Row],[Y_Acryl_Fa]]/Table1[[#This Row],[Ratio_Ac_Fa]]</f>
        <v>0.14799999999999999</v>
      </c>
      <c r="AR372" s="19">
        <v>0.37</v>
      </c>
      <c r="AS372" s="28">
        <f t="shared" si="47"/>
        <v>15.48866354789614</v>
      </c>
      <c r="AT372" s="16"/>
      <c r="AU372" s="10" t="s">
        <v>229</v>
      </c>
      <c r="AV372" s="30"/>
      <c r="AW372" s="10" t="s">
        <v>230</v>
      </c>
      <c r="AX372" s="10">
        <v>2021</v>
      </c>
      <c r="AY372" s="10">
        <v>0.3</v>
      </c>
      <c r="AZ372" s="20">
        <v>0.83722505664303482</v>
      </c>
      <c r="BA372" s="20">
        <v>0.20930626416075868</v>
      </c>
      <c r="BB372" s="20">
        <v>0.5232656604018967</v>
      </c>
      <c r="BC372" s="20">
        <f>BA372*60*AR372/AY372</f>
        <v>15.48866354789614</v>
      </c>
      <c r="BD372" s="20">
        <f>BB372*60*AQ372/AY372</f>
        <v>15.48866354789614</v>
      </c>
    </row>
    <row r="373" spans="1:56" s="18" customFormat="1">
      <c r="A373" s="10">
        <v>372</v>
      </c>
      <c r="B373" s="13"/>
      <c r="C373" s="10" t="s">
        <v>10</v>
      </c>
      <c r="D373" s="10"/>
      <c r="E373" s="27">
        <v>1</v>
      </c>
      <c r="F373" s="10"/>
      <c r="G373" s="10"/>
      <c r="H373" s="27"/>
      <c r="I373" s="10" t="s">
        <v>82</v>
      </c>
      <c r="J373" s="10"/>
      <c r="K373" s="20">
        <f>0.376/1000*87.62</f>
        <v>3.2945120000000001E-2</v>
      </c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50">
        <v>677</v>
      </c>
      <c r="Z373" s="50">
        <v>773</v>
      </c>
      <c r="AA373" s="10"/>
      <c r="AB373" s="10">
        <v>1</v>
      </c>
      <c r="AC373" s="20">
        <v>0</v>
      </c>
      <c r="AD373" s="10" t="s">
        <v>196</v>
      </c>
      <c r="AE373" s="10" t="s">
        <v>211</v>
      </c>
      <c r="AF373" s="10" t="s">
        <v>209</v>
      </c>
      <c r="AG373" s="10">
        <v>2.5</v>
      </c>
      <c r="AH373" s="27">
        <v>4</v>
      </c>
      <c r="AI373" s="27">
        <f t="shared" si="48"/>
        <v>20</v>
      </c>
      <c r="AJ373" s="27">
        <f t="shared" si="49"/>
        <v>66.666666666666671</v>
      </c>
      <c r="AK373" s="10">
        <v>1</v>
      </c>
      <c r="AL373" s="10">
        <v>663</v>
      </c>
      <c r="AM373" s="19"/>
      <c r="AN373" s="19"/>
      <c r="AO373" s="19">
        <f>Table1[[#This Row],[Y_Acryl_Fa]]/Table1[[#This Row],[S_Acryl_Fa]]</f>
        <v>0.65882352941176481</v>
      </c>
      <c r="AP373" s="19">
        <v>0.85</v>
      </c>
      <c r="AQ373" s="19">
        <f>Table1[[#This Row],[Y_Acryl_Fa]]/Table1[[#This Row],[Ratio_Ac_Fa]]</f>
        <v>0.22400000000000003</v>
      </c>
      <c r="AR373" s="19">
        <v>0.56000000000000005</v>
      </c>
      <c r="AS373" s="28">
        <f t="shared" si="47"/>
        <v>23.442301586004973</v>
      </c>
      <c r="AT373" s="16"/>
      <c r="AU373" s="10" t="s">
        <v>229</v>
      </c>
      <c r="AV373" s="30"/>
      <c r="AW373" s="10" t="s">
        <v>230</v>
      </c>
      <c r="AX373" s="10">
        <v>2021</v>
      </c>
      <c r="AY373" s="10">
        <v>0.3</v>
      </c>
      <c r="AZ373" s="20">
        <v>0.83722505664303482</v>
      </c>
      <c r="BA373" s="20">
        <v>0.20930626416075868</v>
      </c>
      <c r="BB373" s="20">
        <v>0.5232656604018967</v>
      </c>
      <c r="BC373" s="20">
        <f>BA373*60*AR373/AY373</f>
        <v>23.442301586004973</v>
      </c>
      <c r="BD373" s="20">
        <f>BB373*60*AQ373/AY373</f>
        <v>23.442301586004973</v>
      </c>
    </row>
    <row r="374" spans="1:56" s="18" customFormat="1">
      <c r="A374" s="10">
        <v>373</v>
      </c>
      <c r="B374" s="13"/>
      <c r="C374" s="10" t="s">
        <v>10</v>
      </c>
      <c r="D374" s="10"/>
      <c r="E374" s="27">
        <v>1</v>
      </c>
      <c r="F374" s="10"/>
      <c r="G374" s="10"/>
      <c r="H374" s="27"/>
      <c r="I374" s="10" t="s">
        <v>115</v>
      </c>
      <c r="J374" s="10"/>
      <c r="K374" s="20">
        <f>0.376/1000*39.098</f>
        <v>1.4700847999999999E-2</v>
      </c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50">
        <v>580</v>
      </c>
      <c r="Z374" s="50">
        <v>773</v>
      </c>
      <c r="AA374" s="10"/>
      <c r="AB374" s="10">
        <v>1</v>
      </c>
      <c r="AC374" s="20">
        <v>0</v>
      </c>
      <c r="AD374" s="10" t="s">
        <v>196</v>
      </c>
      <c r="AE374" s="10" t="s">
        <v>211</v>
      </c>
      <c r="AF374" s="10" t="s">
        <v>209</v>
      </c>
      <c r="AG374" s="10">
        <v>2.5</v>
      </c>
      <c r="AH374" s="27">
        <v>4</v>
      </c>
      <c r="AI374" s="27">
        <f t="shared" si="48"/>
        <v>20</v>
      </c>
      <c r="AJ374" s="27">
        <f t="shared" si="49"/>
        <v>66.666666666666671</v>
      </c>
      <c r="AK374" s="10">
        <v>1</v>
      </c>
      <c r="AL374" s="10">
        <v>663</v>
      </c>
      <c r="AM374" s="19"/>
      <c r="AN374" s="19"/>
      <c r="AO374" s="19">
        <f>Table1[[#This Row],[Y_Acryl_Fa]]/Table1[[#This Row],[S_Acryl_Fa]]</f>
        <v>0.46774193548387094</v>
      </c>
      <c r="AP374" s="19">
        <v>0.62</v>
      </c>
      <c r="AQ374" s="19">
        <f>Table1[[#This Row],[Y_Acryl_Fa]]/Table1[[#This Row],[Ratio_Ac_Fa]]</f>
        <v>0.11599999999999999</v>
      </c>
      <c r="AR374" s="19">
        <v>0.28999999999999998</v>
      </c>
      <c r="AS374" s="28">
        <f t="shared" si="47"/>
        <v>12.139763321324002</v>
      </c>
      <c r="AT374" s="16"/>
      <c r="AU374" s="10" t="s">
        <v>229</v>
      </c>
      <c r="AV374" s="30"/>
      <c r="AW374" s="10" t="s">
        <v>230</v>
      </c>
      <c r="AX374" s="10">
        <v>2021</v>
      </c>
      <c r="AY374" s="10">
        <v>0.3</v>
      </c>
      <c r="AZ374" s="20">
        <v>0.83722505664303482</v>
      </c>
      <c r="BA374" s="20">
        <v>0.20930626416075868</v>
      </c>
      <c r="BB374" s="20">
        <v>0.5232656604018967</v>
      </c>
      <c r="BC374" s="20">
        <f>BA374*60*AR374/AY374</f>
        <v>12.139763321324002</v>
      </c>
      <c r="BD374" s="20">
        <f>BB374*60*AQ374/AY374</f>
        <v>12.139763321324002</v>
      </c>
    </row>
    <row r="375" spans="1:56" s="18" customFormat="1">
      <c r="A375" s="10">
        <v>374</v>
      </c>
      <c r="B375" s="13"/>
      <c r="C375" s="10" t="s">
        <v>10</v>
      </c>
      <c r="D375" s="10"/>
      <c r="E375" s="27">
        <v>1</v>
      </c>
      <c r="F375" s="10"/>
      <c r="G375" s="10"/>
      <c r="H375" s="27"/>
      <c r="I375" s="10" t="s">
        <v>45</v>
      </c>
      <c r="J375" s="10"/>
      <c r="K375" s="20">
        <f>0.376/1000*85.4678</f>
        <v>3.2135892799999996E-2</v>
      </c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50">
        <v>535</v>
      </c>
      <c r="Z375" s="50">
        <v>773</v>
      </c>
      <c r="AA375" s="10"/>
      <c r="AB375" s="10">
        <v>1</v>
      </c>
      <c r="AC375" s="20">
        <v>0</v>
      </c>
      <c r="AD375" s="10" t="s">
        <v>196</v>
      </c>
      <c r="AE375" s="10" t="s">
        <v>211</v>
      </c>
      <c r="AF375" s="10" t="s">
        <v>209</v>
      </c>
      <c r="AG375" s="10">
        <v>2.5</v>
      </c>
      <c r="AH375" s="27">
        <v>4</v>
      </c>
      <c r="AI375" s="27">
        <f t="shared" si="48"/>
        <v>20</v>
      </c>
      <c r="AJ375" s="27">
        <f t="shared" si="49"/>
        <v>66.666666666666671</v>
      </c>
      <c r="AK375" s="10">
        <v>1</v>
      </c>
      <c r="AL375" s="10">
        <v>663</v>
      </c>
      <c r="AM375" s="19"/>
      <c r="AN375" s="19"/>
      <c r="AO375" s="19">
        <f>Table1[[#This Row],[Y_Acryl_Fa]]/Table1[[#This Row],[S_Acryl_Fa]]</f>
        <v>0.60810810810810811</v>
      </c>
      <c r="AP375" s="19">
        <v>0.74</v>
      </c>
      <c r="AQ375" s="19">
        <f>Table1[[#This Row],[Y_Acryl_Fa]]/Table1[[#This Row],[Ratio_Ac_Fa]]</f>
        <v>0.18</v>
      </c>
      <c r="AR375" s="19">
        <v>0.45</v>
      </c>
      <c r="AS375" s="28">
        <f t="shared" si="47"/>
        <v>18.837563774468279</v>
      </c>
      <c r="AT375" s="16"/>
      <c r="AU375" s="10" t="s">
        <v>229</v>
      </c>
      <c r="AV375" s="30"/>
      <c r="AW375" s="10" t="s">
        <v>230</v>
      </c>
      <c r="AX375" s="10">
        <v>2021</v>
      </c>
      <c r="AY375" s="10">
        <v>0.3</v>
      </c>
      <c r="AZ375" s="20">
        <v>0.83722505664303482</v>
      </c>
      <c r="BA375" s="20">
        <v>0.20930626416075868</v>
      </c>
      <c r="BB375" s="20">
        <v>0.5232656604018967</v>
      </c>
      <c r="BC375" s="20">
        <f>BA375*60*AR375/AY375</f>
        <v>18.837563774468283</v>
      </c>
      <c r="BD375" s="20">
        <f>BB375*60*AQ375/AY375</f>
        <v>18.837563774468279</v>
      </c>
    </row>
    <row r="376" spans="1:56" s="18" customFormat="1">
      <c r="A376" s="10">
        <v>375</v>
      </c>
      <c r="B376" s="13"/>
      <c r="C376" s="10" t="s">
        <v>10</v>
      </c>
      <c r="D376" s="10"/>
      <c r="E376" s="27">
        <v>1</v>
      </c>
      <c r="F376" s="10"/>
      <c r="G376" s="10"/>
      <c r="H376" s="27"/>
      <c r="I376" s="10" t="s">
        <v>0</v>
      </c>
      <c r="J376" s="10"/>
      <c r="K376" s="20">
        <f>0.376/1000*132.90545</f>
        <v>4.9972449199999998E-2</v>
      </c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50">
        <v>444</v>
      </c>
      <c r="Z376" s="50">
        <v>773</v>
      </c>
      <c r="AA376" s="10"/>
      <c r="AB376" s="10">
        <v>1</v>
      </c>
      <c r="AC376" s="20">
        <v>0</v>
      </c>
      <c r="AD376" s="10" t="s">
        <v>196</v>
      </c>
      <c r="AE376" s="10" t="s">
        <v>211</v>
      </c>
      <c r="AF376" s="10" t="s">
        <v>209</v>
      </c>
      <c r="AG376" s="10">
        <v>2.5</v>
      </c>
      <c r="AH376" s="27">
        <v>4</v>
      </c>
      <c r="AI376" s="27">
        <f t="shared" si="48"/>
        <v>20</v>
      </c>
      <c r="AJ376" s="27">
        <f t="shared" si="49"/>
        <v>66.666666666666671</v>
      </c>
      <c r="AK376" s="10">
        <v>1</v>
      </c>
      <c r="AL376" s="10">
        <v>663</v>
      </c>
      <c r="AM376" s="19"/>
      <c r="AN376" s="19"/>
      <c r="AO376" s="19">
        <f>Table1[[#This Row],[Y_Acryl_Fa]]/Table1[[#This Row],[S_Acryl_Fa]]</f>
        <v>0.74117647058823533</v>
      </c>
      <c r="AP376" s="19">
        <v>0.85</v>
      </c>
      <c r="AQ376" s="19">
        <f>Table1[[#This Row],[Y_Acryl_Fa]]/Table1[[#This Row],[Ratio_Ac_Fa]]</f>
        <v>0.252</v>
      </c>
      <c r="AR376" s="19">
        <v>0.63</v>
      </c>
      <c r="AS376" s="28">
        <f t="shared" si="47"/>
        <v>26.372589284255593</v>
      </c>
      <c r="AT376" s="16">
        <v>1</v>
      </c>
      <c r="AU376" s="10" t="s">
        <v>229</v>
      </c>
      <c r="AV376" s="30"/>
      <c r="AW376" s="10" t="s">
        <v>230</v>
      </c>
      <c r="AX376" s="10">
        <v>2021</v>
      </c>
      <c r="AY376" s="10">
        <v>0.3</v>
      </c>
      <c r="AZ376" s="20">
        <v>0.83722505664303482</v>
      </c>
      <c r="BA376" s="20">
        <v>0.20930626416075868</v>
      </c>
      <c r="BB376" s="20">
        <v>0.5232656604018967</v>
      </c>
      <c r="BC376" s="20">
        <f>BA376*60*AR376/AY376</f>
        <v>26.372589284255593</v>
      </c>
      <c r="BD376" s="20">
        <f>BB376*60*AQ376/AY376</f>
        <v>26.372589284255593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Ac-Fa-Cond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Simon Verstraeten</cp:lastModifiedBy>
  <dcterms:created xsi:type="dcterms:W3CDTF">2022-09-06T08:08:56Z</dcterms:created>
  <dcterms:modified xsi:type="dcterms:W3CDTF">2026-07-08T12:05:05Z</dcterms:modified>
</cp:coreProperties>
</file>